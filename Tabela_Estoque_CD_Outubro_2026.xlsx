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e Resumo" sheetId="1" state="visible" r:id="rId1"/>
    <sheet xmlns:r="http://schemas.openxmlformats.org/officeDocument/2006/relationships" name="Estoque CD (200 Linha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1" workbookViewId="0">
      <selection activeCell="A1" sqref="A1"/>
    </sheetView>
  </sheetViews>
  <sheetFormatPr baseColWidth="8" defaultRowHeight="15"/>
  <sheetData>
    <row r="2">
      <c r="B2" t="inlineStr">
        <is>
          <t>GESTÃO DE ESTOQUE - CENTRO DE DISTRIBUIÇÃO (CD)</t>
        </is>
      </c>
    </row>
    <row r="3">
      <c r="B3" t="inlineStr">
        <is>
          <t>Relatório Executivo e Resumo de Materiais Cadastrados</t>
        </is>
      </c>
    </row>
    <row r="5">
      <c r="B5" t="inlineStr">
        <is>
          <t>TOTAL DE SKUs</t>
        </is>
      </c>
      <c r="D5" t="inlineStr">
        <is>
          <t>VALOR TOTAL ESTOQUE</t>
        </is>
      </c>
      <c r="F5" t="inlineStr">
        <is>
          <t>QTD TOTAL ITENS</t>
        </is>
      </c>
      <c r="H5" t="inlineStr">
        <is>
          <t>ITENS EM STATUS CRÍTICO</t>
        </is>
      </c>
    </row>
    <row r="6">
      <c r="B6">
        <f>COUNTA('Estoque CD (200 Linhas)'!B2:B201)</f>
        <v/>
      </c>
      <c r="D6">
        <f>SUM('Estoque CD (200 Linhas)'!I2:I201)</f>
        <v/>
      </c>
      <c r="F6">
        <f>SUM('Estoque CD (200 Linhas)'!F2:F201)</f>
        <v/>
      </c>
      <c r="H6">
        <f>COUNTIF('Estoque CD (200 Linhas)'!K2:K201, "CRÍTICO")</f>
        <v/>
      </c>
    </row>
    <row r="9">
      <c r="B9" t="inlineStr">
        <is>
          <t>Resumo por Categoria de Material</t>
        </is>
      </c>
    </row>
    <row r="10">
      <c r="B10" t="inlineStr">
        <is>
          <t>Categoria / Tipo de Material</t>
        </is>
      </c>
      <c r="C10" t="inlineStr">
        <is>
          <t>Qtd SKUs</t>
        </is>
      </c>
      <c r="D10" t="inlineStr">
        <is>
          <t>Estoque Total (Unidades)</t>
        </is>
      </c>
      <c r="E10" t="inlineStr">
        <is>
          <t>Valor em Estoque (R$)</t>
        </is>
      </c>
      <c r="F10" t="inlineStr">
        <is>
          <t>Itens Críticos</t>
        </is>
      </c>
    </row>
    <row r="11">
      <c r="B11" t="inlineStr">
        <is>
          <t>Embalagens e Caixas</t>
        </is>
      </c>
      <c r="C11">
        <f>COUNTIF('Estoque CD (200 Linhas)'!D2:D201, "Embalagens e Caixas")</f>
        <v/>
      </c>
      <c r="D11">
        <f>SUMIF('Estoque CD (200 Linhas)'!D2:D201, "Embalagens e Caixas", 'Estoque CD (200 Linhas)'!F2:F201)</f>
        <v/>
      </c>
      <c r="E11">
        <f>SUMIF('Estoque CD (200 Linhas)'!D2:D201, "Embalagens e Caixas", 'Estoque CD (200 Linhas)'!I2:I201)</f>
        <v/>
      </c>
      <c r="F11">
        <f>COUNTIFS('Estoque CD (200 Linhas)'!D2:D201, "Embalagens e Caixas", 'Estoque CD (200 Linhas)'!K2:K201, "CRÍTICO")</f>
        <v/>
      </c>
    </row>
    <row r="12">
      <c r="B12" t="inlineStr">
        <is>
          <t>Filmes e Proteção Plástica</t>
        </is>
      </c>
      <c r="C12">
        <f>COUNTIF('Estoque CD (200 Linhas)'!D2:D201, "Filmes e Proteção Plástica")</f>
        <v/>
      </c>
      <c r="D12">
        <f>SUMIF('Estoque CD (200 Linhas)'!D2:D201, "Filmes e Proteção Plástica", 'Estoque CD (200 Linhas)'!F2:F201)</f>
        <v/>
      </c>
      <c r="E12">
        <f>SUMIF('Estoque CD (200 Linhas)'!D2:D201, "Filmes e Proteção Plástica", 'Estoque CD (200 Linhas)'!I2:I201)</f>
        <v/>
      </c>
      <c r="F12">
        <f>COUNTIFS('Estoque CD (200 Linhas)'!D2:D201, "Filmes e Proteção Plástica", 'Estoque CD (200 Linhas)'!K2:K201, "CRÍTICO")</f>
        <v/>
      </c>
    </row>
    <row r="13">
      <c r="B13" t="inlineStr">
        <is>
          <t>Fitas e Lacres</t>
        </is>
      </c>
      <c r="C13">
        <f>COUNTIF('Estoque CD (200 Linhas)'!D2:D201, "Fitas e Lacres")</f>
        <v/>
      </c>
      <c r="D13">
        <f>SUMIF('Estoque CD (200 Linhas)'!D2:D201, "Fitas e Lacres", 'Estoque CD (200 Linhas)'!F2:F201)</f>
        <v/>
      </c>
      <c r="E13">
        <f>SUMIF('Estoque CD (200 Linhas)'!D2:D201, "Fitas e Lacres", 'Estoque CD (200 Linhas)'!I2:I201)</f>
        <v/>
      </c>
      <c r="F13">
        <f>COUNTIFS('Estoque CD (200 Linhas)'!D2:D201, "Fitas e Lacres", 'Estoque CD (200 Linhas)'!K2:K201, "CRÍTICO")</f>
        <v/>
      </c>
    </row>
    <row r="14">
      <c r="B14" t="inlineStr">
        <is>
          <t>Paletes e Acessórios</t>
        </is>
      </c>
      <c r="C14">
        <f>COUNTIF('Estoque CD (200 Linhas)'!D2:D201, "Paletes e Acessórios")</f>
        <v/>
      </c>
      <c r="D14">
        <f>SUMIF('Estoque CD (200 Linhas)'!D2:D201, "Paletes e Acessórios", 'Estoque CD (200 Linhas)'!F2:F201)</f>
        <v/>
      </c>
      <c r="E14">
        <f>SUMIF('Estoque CD (200 Linhas)'!D2:D201, "Paletes e Acessórios", 'Estoque CD (200 Linhas)'!I2:I201)</f>
        <v/>
      </c>
      <c r="F14">
        <f>COUNTIFS('Estoque CD (200 Linhas)'!D2:D201, "Paletes e Acessórios", 'Estoque CD (200 Linhas)'!K2:K201, "CRÍTICO")</f>
        <v/>
      </c>
    </row>
    <row r="15">
      <c r="B15" t="inlineStr">
        <is>
          <t>Amarra e Arquear</t>
        </is>
      </c>
      <c r="C15">
        <f>COUNTIF('Estoque CD (200 Linhas)'!D2:D201, "Amarra e Arquear")</f>
        <v/>
      </c>
      <c r="D15">
        <f>SUMIF('Estoque CD (200 Linhas)'!D2:D201, "Amarra e Arquear", 'Estoque CD (200 Linhas)'!F2:F201)</f>
        <v/>
      </c>
      <c r="E15">
        <f>SUMIF('Estoque CD (200 Linhas)'!D2:D201, "Amarra e Arquear", 'Estoque CD (200 Linhas)'!I2:I201)</f>
        <v/>
      </c>
      <c r="F15">
        <f>COUNTIFS('Estoque CD (200 Linhas)'!D2:D201, "Amarra e Arquear", 'Estoque CD (200 Linhas)'!K2:K201, "CRÍTICO")</f>
        <v/>
      </c>
    </row>
    <row r="16">
      <c r="B16" t="inlineStr">
        <is>
          <t>Etiquetas e Identificação</t>
        </is>
      </c>
      <c r="C16">
        <f>COUNTIF('Estoque CD (200 Linhas)'!D2:D201, "Etiquetas e Identificação")</f>
        <v/>
      </c>
      <c r="D16">
        <f>SUMIF('Estoque CD (200 Linhas)'!D2:D201, "Etiquetas e Identificação", 'Estoque CD (200 Linhas)'!F2:F201)</f>
        <v/>
      </c>
      <c r="E16">
        <f>SUMIF('Estoque CD (200 Linhas)'!D2:D201, "Etiquetas e Identificação", 'Estoque CD (200 Linhas)'!I2:I201)</f>
        <v/>
      </c>
      <c r="F16">
        <f>COUNTIFS('Estoque CD (200 Linhas)'!D2:D201, "Etiquetas e Identificação", 'Estoque CD (200 Linhas)'!K2:K201, "CRÍTICO")</f>
        <v/>
      </c>
    </row>
    <row r="17">
      <c r="B17" t="inlineStr">
        <is>
          <t>Equipamentos de Proteção Individual (EPI)</t>
        </is>
      </c>
      <c r="C17">
        <f>COUNTIF('Estoque CD (200 Linhas)'!D2:D201, "Equipamentos de Proteção Individual (EPI)")</f>
        <v/>
      </c>
      <c r="D17">
        <f>SUMIF('Estoque CD (200 Linhas)'!D2:D201, "Equipamentos de Proteção Individual (EPI)", 'Estoque CD (200 Linhas)'!F2:F201)</f>
        <v/>
      </c>
      <c r="E17">
        <f>SUMIF('Estoque CD (200 Linhas)'!D2:D201, "Equipamentos de Proteção Individual (EPI)", 'Estoque CD (200 Linhas)'!I2:I201)</f>
        <v/>
      </c>
      <c r="F17">
        <f>COUNTIFS('Estoque CD (200 Linhas)'!D2:D201, "Equipamentos de Proteção Individual (EPI)", 'Estoque CD (200 Linhas)'!K2:K201, "CRÍTICO")</f>
        <v/>
      </c>
    </row>
    <row r="18">
      <c r="B18" t="inlineStr">
        <is>
          <t>Ferramentas Manuais de Depósito</t>
        </is>
      </c>
      <c r="C18">
        <f>COUNTIF('Estoque CD (200 Linhas)'!D2:D201, "Ferramentas Manuais de Depósito")</f>
        <v/>
      </c>
      <c r="D18">
        <f>SUMIF('Estoque CD (200 Linhas)'!D2:D201, "Ferramentas Manuais de Depósito", 'Estoque CD (200 Linhas)'!F2:F201)</f>
        <v/>
      </c>
      <c r="E18">
        <f>SUMIF('Estoque CD (200 Linhas)'!D2:D201, "Ferramentas Manuais de Depósito", 'Estoque CD (200 Linhas)'!I2:I201)</f>
        <v/>
      </c>
      <c r="F18">
        <f>COUNTIFS('Estoque CD (200 Linhas)'!D2:D201, "Ferramentas Manuais de Depósito", 'Estoque CD (200 Linhas)'!K2:K201, "CRÍTICO")</f>
        <v/>
      </c>
    </row>
    <row r="19">
      <c r="B19" t="inlineStr">
        <is>
          <t>Suprimentos de TI e Coleta</t>
        </is>
      </c>
      <c r="C19">
        <f>COUNTIF('Estoque CD (200 Linhas)'!D2:D201, "Suprimentos de TI e Coleta")</f>
        <v/>
      </c>
      <c r="D19">
        <f>SUMIF('Estoque CD (200 Linhas)'!D2:D201, "Suprimentos de TI e Coleta", 'Estoque CD (200 Linhas)'!F2:F201)</f>
        <v/>
      </c>
      <c r="E19">
        <f>SUMIF('Estoque CD (200 Linhas)'!D2:D201, "Suprimentos de TI e Coleta", 'Estoque CD (200 Linhas)'!I2:I201)</f>
        <v/>
      </c>
      <c r="F19">
        <f>COUNTIFS('Estoque CD (200 Linhas)'!D2:D201, "Suprimentos de TI e Coleta", 'Estoque CD (200 Linhas)'!K2:K201, "CRÍTICO")</f>
        <v/>
      </c>
    </row>
    <row r="20">
      <c r="B20" t="inlineStr">
        <is>
          <t>Limpeza e Conservação</t>
        </is>
      </c>
      <c r="C20">
        <f>COUNTIF('Estoque CD (200 Linhas)'!D2:D201, "Limpeza e Conservação")</f>
        <v/>
      </c>
      <c r="D20">
        <f>SUMIF('Estoque CD (200 Linhas)'!D2:D201, "Limpeza e Conservação", 'Estoque CD (200 Linhas)'!F2:F201)</f>
        <v/>
      </c>
      <c r="E20">
        <f>SUMIF('Estoque CD (200 Linhas)'!D2:D201, "Limpeza e Conservação", 'Estoque CD (200 Linhas)'!I2:I201)</f>
        <v/>
      </c>
      <c r="F20">
        <f>COUNTIFS('Estoque CD (200 Linhas)'!D2:D201, "Limpeza e Conservação", 'Estoque CD (200 Linhas)'!K2:K201, "CRÍTICO")</f>
        <v/>
      </c>
    </row>
    <row r="21">
      <c r="B21" t="inlineStr">
        <is>
          <t>Fixadores e Hardware</t>
        </is>
      </c>
      <c r="C21">
        <f>COUNTIF('Estoque CD (200 Linhas)'!D2:D201, "Fixadores e Hardware")</f>
        <v/>
      </c>
      <c r="D21">
        <f>SUMIF('Estoque CD (200 Linhas)'!D2:D201, "Fixadores e Hardware", 'Estoque CD (200 Linhas)'!F2:F201)</f>
        <v/>
      </c>
      <c r="E21">
        <f>SUMIF('Estoque CD (200 Linhas)'!D2:D201, "Fixadores e Hardware", 'Estoque CD (200 Linhas)'!I2:I201)</f>
        <v/>
      </c>
      <c r="F21">
        <f>COUNTIFS('Estoque CD (200 Linhas)'!D2:D201, "Fixadores e Hardware", 'Estoque CD (200 Linhas)'!K2:K201, "CRÍTICO")</f>
        <v/>
      </c>
    </row>
    <row r="22">
      <c r="B22" t="inlineStr">
        <is>
          <t>Material Elétrico Industrial</t>
        </is>
      </c>
      <c r="C22">
        <f>COUNTIF('Estoque CD (200 Linhas)'!D2:D201, "Material Elétrico Industrial")</f>
        <v/>
      </c>
      <c r="D22">
        <f>SUMIF('Estoque CD (200 Linhas)'!D2:D201, "Material Elétrico Industrial", 'Estoque CD (200 Linhas)'!F2:F201)</f>
        <v/>
      </c>
      <c r="E22">
        <f>SUMIF('Estoque CD (200 Linhas)'!D2:D201, "Material Elétrico Industrial", 'Estoque CD (200 Linhas)'!I2:I201)</f>
        <v/>
      </c>
      <c r="F22">
        <f>COUNTIFS('Estoque CD (200 Linhas)'!D2:D201, "Material Elétrico Industrial", 'Estoque CD (200 Linhas)'!K2:K201, "CRÍTICO")</f>
        <v/>
      </c>
    </row>
    <row r="23">
      <c r="B23" t="inlineStr">
        <is>
          <t>Hidráulica e Pneumática</t>
        </is>
      </c>
      <c r="C23">
        <f>COUNTIF('Estoque CD (200 Linhas)'!D2:D201, "Hidráulica e Pneumática")</f>
        <v/>
      </c>
      <c r="D23">
        <f>SUMIF('Estoque CD (200 Linhas)'!D2:D201, "Hidráulica e Pneumática", 'Estoque CD (200 Linhas)'!F2:F201)</f>
        <v/>
      </c>
      <c r="E23">
        <f>SUMIF('Estoque CD (200 Linhas)'!D2:D201, "Hidráulica e Pneumática", 'Estoque CD (200 Linhas)'!I2:I201)</f>
        <v/>
      </c>
      <c r="F23">
        <f>COUNTIFS('Estoque CD (200 Linhas)'!D2:D201, "Hidráulica e Pneumática", 'Estoque CD (200 Linhas)'!K2:K201, "CRÍTICO")</f>
        <v/>
      </c>
    </row>
    <row r="24">
      <c r="B24" t="inlineStr">
        <is>
          <t>Lubrificantes e Químicos</t>
        </is>
      </c>
      <c r="C24">
        <f>COUNTIF('Estoque CD (200 Linhas)'!D2:D201, "Lubrificantes e Químicos")</f>
        <v/>
      </c>
      <c r="D24">
        <f>SUMIF('Estoque CD (200 Linhas)'!D2:D201, "Lubrificantes e Químicos", 'Estoque CD (200 Linhas)'!F2:F201)</f>
        <v/>
      </c>
      <c r="E24">
        <f>SUMIF('Estoque CD (200 Linhas)'!D2:D201, "Lubrificantes e Químicos", 'Estoque CD (200 Linhas)'!I2:I201)</f>
        <v/>
      </c>
      <c r="F24">
        <f>COUNTIFS('Estoque CD (200 Linhas)'!D2:D201, "Lubrificantes e Químicos", 'Estoque CD (200 Linhas)'!K2:K201, "CRÍTICO")</f>
        <v/>
      </c>
    </row>
    <row r="25">
      <c r="B25" t="inlineStr">
        <is>
          <t>Sinalização e Segurança</t>
        </is>
      </c>
      <c r="C25">
        <f>COUNTIF('Estoque CD (200 Linhas)'!D2:D201, "Sinalização e Segurança")</f>
        <v/>
      </c>
      <c r="D25">
        <f>SUMIF('Estoque CD (200 Linhas)'!D2:D201, "Sinalização e Segurança", 'Estoque CD (200 Linhas)'!F2:F201)</f>
        <v/>
      </c>
      <c r="E25">
        <f>SUMIF('Estoque CD (200 Linhas)'!D2:D201, "Sinalização e Segurança", 'Estoque CD (200 Linhas)'!I2:I201)</f>
        <v/>
      </c>
      <c r="F25">
        <f>COUNTIFS('Estoque CD (200 Linhas)'!D2:D201, "Sinalização e Segurança", 'Estoque CD (200 Linhas)'!K2:K201, "CRÍTICO")</f>
        <v/>
      </c>
    </row>
    <row r="26">
      <c r="B26" t="inlineStr">
        <is>
          <t>Escritório Logístico</t>
        </is>
      </c>
      <c r="C26">
        <f>COUNTIF('Estoque CD (200 Linhas)'!D2:D201, "Escritório Logístico")</f>
        <v/>
      </c>
      <c r="D26">
        <f>SUMIF('Estoque CD (200 Linhas)'!D2:D201, "Escritório Logístico", 'Estoque CD (200 Linhas)'!F2:F201)</f>
        <v/>
      </c>
      <c r="E26">
        <f>SUMIF('Estoque CD (200 Linhas)'!D2:D201, "Escritório Logístico", 'Estoque CD (200 Linhas)'!I2:I201)</f>
        <v/>
      </c>
      <c r="F26">
        <f>COUNTIFS('Estoque CD (200 Linhas)'!D2:D201, "Escritório Logístico", 'Estoque CD (200 Linhas)'!K2:K201, "CRÍTICO")</f>
        <v/>
      </c>
    </row>
    <row r="27">
      <c r="B27" t="inlineStr">
        <is>
          <t>Peças de Empilhadeira e Paleteira</t>
        </is>
      </c>
      <c r="C27">
        <f>COUNTIF('Estoque CD (200 Linhas)'!D2:D201, "Peças de Empilhadeira e Paleteira")</f>
        <v/>
      </c>
      <c r="D27">
        <f>SUMIF('Estoque CD (200 Linhas)'!D2:D201, "Peças de Empilhadeira e Paleteira", 'Estoque CD (200 Linhas)'!F2:F201)</f>
        <v/>
      </c>
      <c r="E27">
        <f>SUMIF('Estoque CD (200 Linhas)'!D2:D201, "Peças de Empilhadeira e Paleteira", 'Estoque CD (200 Linhas)'!I2:I201)</f>
        <v/>
      </c>
      <c r="F27">
        <f>COUNTIFS('Estoque CD (200 Linhas)'!D2:D201, "Peças de Empilhadeira e Paleteira", 'Estoque CD (200 Linhas)'!K2:K201, "CRÍTICO")</f>
        <v/>
      </c>
    </row>
    <row r="28">
      <c r="B28" t="inlineStr">
        <is>
          <t>Iluminação Industrial</t>
        </is>
      </c>
      <c r="C28">
        <f>COUNTIF('Estoque CD (200 Linhas)'!D2:D201, "Iluminação Industrial")</f>
        <v/>
      </c>
      <c r="D28">
        <f>SUMIF('Estoque CD (200 Linhas)'!D2:D201, "Iluminação Industrial", 'Estoque CD (200 Linhas)'!F2:F201)</f>
        <v/>
      </c>
      <c r="E28">
        <f>SUMIF('Estoque CD (200 Linhas)'!D2:D201, "Iluminação Industrial", 'Estoque CD (200 Linhas)'!I2:I201)</f>
        <v/>
      </c>
      <c r="F28">
        <f>COUNTIFS('Estoque CD (200 Linhas)'!D2:D201, "Iluminação Industrial", 'Estoque CD (200 Linhas)'!K2:K201, "CRÍTICO")</f>
        <v/>
      </c>
    </row>
    <row r="29">
      <c r="B29" t="inlineStr">
        <is>
          <t>Caixas e Organizadores</t>
        </is>
      </c>
      <c r="C29">
        <f>COUNTIF('Estoque CD (200 Linhas)'!D2:D201, "Caixas e Organizadores")</f>
        <v/>
      </c>
      <c r="D29">
        <f>SUMIF('Estoque CD (200 Linhas)'!D2:D201, "Caixas e Organizadores", 'Estoque CD (200 Linhas)'!F2:F201)</f>
        <v/>
      </c>
      <c r="E29">
        <f>SUMIF('Estoque CD (200 Linhas)'!D2:D201, "Caixas e Organizadores", 'Estoque CD (200 Linhas)'!I2:I201)</f>
        <v/>
      </c>
      <c r="F29">
        <f>COUNTIFS('Estoque CD (200 Linhas)'!D2:D201, "Caixas e Organizadores", 'Estoque CD (200 Linhas)'!K2:K201, "CRÍTICO")</f>
        <v/>
      </c>
    </row>
    <row r="30">
      <c r="B30" t="inlineStr">
        <is>
          <t>Consumáveis Diversos</t>
        </is>
      </c>
      <c r="C30">
        <f>COUNTIF('Estoque CD (200 Linhas)'!D2:D201, "Consumáveis Diversos")</f>
        <v/>
      </c>
      <c r="D30">
        <f>SUMIF('Estoque CD (200 Linhas)'!D2:D201, "Consumáveis Diversos", 'Estoque CD (200 Linhas)'!F2:F201)</f>
        <v/>
      </c>
      <c r="E30">
        <f>SUMIF('Estoque CD (200 Linhas)'!D2:D201, "Consumáveis Diversos", 'Estoque CD (200 Linhas)'!I2:I201)</f>
        <v/>
      </c>
      <c r="F30">
        <f>COUNTIFS('Estoque CD (200 Linhas)'!D2:D201, "Consumáveis Diversos", 'Estoque CD (200 Linhas)'!K2:K201, "CRÍTICO")</f>
        <v/>
      </c>
    </row>
    <row r="31">
      <c r="B31" t="inlineStr">
        <is>
          <t>TOTAL GERAL</t>
        </is>
      </c>
      <c r="C31">
        <f>SUM(C11:C30)</f>
        <v/>
      </c>
      <c r="D31">
        <f>SUM(D11:D30)</f>
        <v/>
      </c>
      <c r="E31">
        <f>SUM(E11:E30)</f>
        <v/>
      </c>
      <c r="F31">
        <f>SUM(F11:F30)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2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Código SKU</t>
        </is>
      </c>
      <c r="C1" t="inlineStr">
        <is>
          <t>Descrição do Material</t>
        </is>
      </c>
      <c r="D1" t="inlineStr">
        <is>
          <t>Categoria / Tipo</t>
        </is>
      </c>
      <c r="E1" t="inlineStr">
        <is>
          <t>Endereço no CD</t>
        </is>
      </c>
      <c r="F1" t="inlineStr">
        <is>
          <t>Qtd em Estoque</t>
        </is>
      </c>
      <c r="G1" t="inlineStr">
        <is>
          <t>Unidade</t>
        </is>
      </c>
      <c r="H1" t="inlineStr">
        <is>
          <t>Custo Unit. (R$)</t>
        </is>
      </c>
      <c r="I1" t="inlineStr">
        <is>
          <t>Valor Total (R$)</t>
        </is>
      </c>
      <c r="J1" t="inlineStr">
        <is>
          <t>Estoque Mínimo</t>
        </is>
      </c>
      <c r="K1" t="inlineStr">
        <is>
          <t>Status do Estoque</t>
        </is>
      </c>
      <c r="L1" t="inlineStr">
        <is>
          <t>Última Movimentação</t>
        </is>
      </c>
    </row>
    <row r="2">
      <c r="A2" t="n">
        <v>1</v>
      </c>
      <c r="B2" t="inlineStr">
        <is>
          <t>SKU-1001</t>
        </is>
      </c>
      <c r="C2" t="inlineStr">
        <is>
          <t>Caixa de Papelão Ondulado P (30x20x15)</t>
        </is>
      </c>
      <c r="D2" t="inlineStr">
        <is>
          <t>Embalagens e Caixas</t>
        </is>
      </c>
      <c r="E2" t="inlineStr">
        <is>
          <t>Rua B-01-03-A</t>
        </is>
      </c>
      <c r="F2" t="n">
        <v>105</v>
      </c>
      <c r="G2" t="inlineStr">
        <is>
          <t>CX</t>
        </is>
      </c>
      <c r="H2" t="n">
        <v>3.37</v>
      </c>
      <c r="I2">
        <f>F2*H2</f>
        <v/>
      </c>
      <c r="J2" t="n">
        <v>150</v>
      </c>
      <c r="K2">
        <f>IF(F2&lt;=J2,"CRÍTICO","NORMAL")</f>
        <v/>
      </c>
      <c r="L2" t="inlineStr">
        <is>
          <t>Qtd Entrada</t>
        </is>
      </c>
      <c r="M2" t="inlineStr">
        <is>
          <t>Qtd Saída</t>
        </is>
      </c>
      <c r="N2" t="inlineStr">
        <is>
          <t>Data Entrada</t>
        </is>
      </c>
      <c r="O2" t="inlineStr">
        <is>
          <t>Data Saída</t>
        </is>
      </c>
    </row>
    <row r="3">
      <c r="A3" t="n">
        <v>2</v>
      </c>
      <c r="B3" t="inlineStr">
        <is>
          <t>SKU-1002</t>
        </is>
      </c>
      <c r="C3" t="inlineStr">
        <is>
          <t>Caixa de Papelão Ondulado M (40x30x25)</t>
        </is>
      </c>
      <c r="D3" t="inlineStr">
        <is>
          <t>Embalagens e Caixas</t>
        </is>
      </c>
      <c r="E3" t="inlineStr">
        <is>
          <t>Rua B-19-04-A</t>
        </is>
      </c>
      <c r="F3" t="n">
        <v>89</v>
      </c>
      <c r="G3" t="inlineStr">
        <is>
          <t>CX</t>
        </is>
      </c>
      <c r="H3" t="n">
        <v>5.56</v>
      </c>
      <c r="I3">
        <f>F3*H3</f>
        <v/>
      </c>
      <c r="J3" t="n">
        <v>200</v>
      </c>
      <c r="K3">
        <f>IF(F3&lt;=J3,"CRÍTICO","NORMAL")</f>
        <v/>
      </c>
      <c r="L3" t="n">
        <v>78</v>
      </c>
      <c r="M3" t="n">
        <v>69</v>
      </c>
      <c r="N3" t="inlineStr">
        <is>
          <t>05/10/2026</t>
        </is>
      </c>
      <c r="O3" t="inlineStr">
        <is>
          <t>05/10/2026</t>
        </is>
      </c>
    </row>
    <row r="4">
      <c r="A4" t="n">
        <v>3</v>
      </c>
      <c r="B4" t="inlineStr">
        <is>
          <t>SKU-1003</t>
        </is>
      </c>
      <c r="C4" t="inlineStr">
        <is>
          <t>Caixa de Papelão Ondulado G (60x40x40)</t>
        </is>
      </c>
      <c r="D4" t="inlineStr">
        <is>
          <t>Embalagens e Caixas</t>
        </is>
      </c>
      <c r="E4" t="inlineStr">
        <is>
          <t>Rua A-18-02-B</t>
        </is>
      </c>
      <c r="F4" t="n">
        <v>103</v>
      </c>
      <c r="G4" t="inlineStr">
        <is>
          <t>CX</t>
        </is>
      </c>
      <c r="H4" t="n">
        <v>9.15</v>
      </c>
      <c r="I4">
        <f>F4*H4</f>
        <v/>
      </c>
      <c r="J4" t="n">
        <v>100</v>
      </c>
      <c r="K4">
        <f>IF(F4&lt;=J4,"CRÍTICO","NORMAL")</f>
        <v/>
      </c>
      <c r="L4" t="n">
        <v>59</v>
      </c>
      <c r="M4" t="n">
        <v>26</v>
      </c>
      <c r="N4" t="inlineStr">
        <is>
          <t>18/10/2026</t>
        </is>
      </c>
      <c r="O4" t="inlineStr">
        <is>
          <t>23/10/2026</t>
        </is>
      </c>
    </row>
    <row r="5">
      <c r="A5" t="n">
        <v>4</v>
      </c>
      <c r="B5" t="inlineStr">
        <is>
          <t>SKU-1004</t>
        </is>
      </c>
      <c r="C5" t="inlineStr">
        <is>
          <t>Caixa Papelão Reforçada Tripla</t>
        </is>
      </c>
      <c r="D5" t="inlineStr">
        <is>
          <t>Embalagens e Caixas</t>
        </is>
      </c>
      <c r="E5" t="inlineStr">
        <is>
          <t>Rua A-25-02-B</t>
        </is>
      </c>
      <c r="F5" t="n">
        <v>143</v>
      </c>
      <c r="G5" t="inlineStr">
        <is>
          <t>CX</t>
        </is>
      </c>
      <c r="H5" t="n">
        <v>14.18</v>
      </c>
      <c r="I5">
        <f>F5*H5</f>
        <v/>
      </c>
      <c r="J5" t="n">
        <v>80</v>
      </c>
      <c r="K5">
        <f>IF(F5&lt;=J5,"CRÍTICO","NORMAL")</f>
        <v/>
      </c>
      <c r="L5" t="n">
        <v>68</v>
      </c>
      <c r="M5" t="n">
        <v>21</v>
      </c>
      <c r="N5" t="inlineStr">
        <is>
          <t>27/10/2026</t>
        </is>
      </c>
      <c r="O5" t="inlineStr">
        <is>
          <t>27/10/2026</t>
        </is>
      </c>
    </row>
    <row r="6">
      <c r="A6" t="n">
        <v>5</v>
      </c>
      <c r="B6" t="inlineStr">
        <is>
          <t>SKU-1005</t>
        </is>
      </c>
      <c r="C6" t="inlineStr">
        <is>
          <t>Caixa Telescópica para Paletização</t>
        </is>
      </c>
      <c r="D6" t="inlineStr">
        <is>
          <t>Embalagens e Caixas</t>
        </is>
      </c>
      <c r="E6" t="inlineStr">
        <is>
          <t>Rua F-04-01-B</t>
        </is>
      </c>
      <c r="F6" t="n">
        <v>5</v>
      </c>
      <c r="G6" t="inlineStr">
        <is>
          <t>CX</t>
        </is>
      </c>
      <c r="H6" t="n">
        <v>17.75</v>
      </c>
      <c r="I6">
        <f>F6*H6</f>
        <v/>
      </c>
      <c r="J6" t="n">
        <v>50</v>
      </c>
      <c r="K6">
        <f>IF(F6&lt;=J6,"CRÍTICO","NORMAL")</f>
        <v/>
      </c>
      <c r="L6" t="n">
        <v>61</v>
      </c>
      <c r="M6" t="n">
        <v>150</v>
      </c>
      <c r="N6" t="inlineStr">
        <is>
          <t>20/10/2026</t>
        </is>
      </c>
      <c r="O6" t="inlineStr">
        <is>
          <t>21/10/2026</t>
        </is>
      </c>
    </row>
    <row r="7">
      <c r="A7" t="n">
        <v>6</v>
      </c>
      <c r="B7" t="inlineStr">
        <is>
          <t>SKU-1006</t>
        </is>
      </c>
      <c r="C7" t="inlineStr">
        <is>
          <t>Caixa para Arquivo Morto</t>
        </is>
      </c>
      <c r="D7" t="inlineStr">
        <is>
          <t>Embalagens e Caixas</t>
        </is>
      </c>
      <c r="E7" t="inlineStr">
        <is>
          <t>Rua E-02-04-A</t>
        </is>
      </c>
      <c r="F7" t="n">
        <v>317</v>
      </c>
      <c r="G7" t="inlineStr">
        <is>
          <t>CX</t>
        </is>
      </c>
      <c r="H7" t="n">
        <v>4.02</v>
      </c>
      <c r="I7">
        <f>F7*H7</f>
        <v/>
      </c>
      <c r="J7" t="n">
        <v>120</v>
      </c>
      <c r="K7">
        <f>IF(F7&lt;=J7,"CRÍTICO","NORMAL")</f>
        <v/>
      </c>
      <c r="L7" t="n">
        <v>197</v>
      </c>
      <c r="M7" t="n">
        <v>96</v>
      </c>
      <c r="N7" t="inlineStr">
        <is>
          <t>03/10/2026</t>
        </is>
      </c>
      <c r="O7" t="inlineStr">
        <is>
          <t>17/10/2026</t>
        </is>
      </c>
    </row>
    <row r="8">
      <c r="A8" t="n">
        <v>7</v>
      </c>
      <c r="B8" t="inlineStr">
        <is>
          <t>SKU-1007</t>
        </is>
      </c>
      <c r="C8" t="inlineStr">
        <is>
          <t>Caixa Palete de Papelão KRAFT</t>
        </is>
      </c>
      <c r="D8" t="inlineStr">
        <is>
          <t>Embalagens e Caixas</t>
        </is>
      </c>
      <c r="E8" t="inlineStr">
        <is>
          <t>Rua F-19-02-A</t>
        </is>
      </c>
      <c r="F8" t="n">
        <v>5</v>
      </c>
      <c r="G8" t="inlineStr">
        <is>
          <t>CX</t>
        </is>
      </c>
      <c r="H8" t="n">
        <v>45.73</v>
      </c>
      <c r="I8">
        <f>F8*H8</f>
        <v/>
      </c>
      <c r="J8" t="n">
        <v>30</v>
      </c>
      <c r="K8">
        <f>IF(F8&lt;=J8,"CRÍTICO","NORMAL")</f>
        <v/>
      </c>
      <c r="L8" t="n">
        <v>120</v>
      </c>
      <c r="M8" t="n">
        <v>163</v>
      </c>
      <c r="N8" t="inlineStr">
        <is>
          <t>24/10/2026</t>
        </is>
      </c>
      <c r="O8" t="inlineStr">
        <is>
          <t>24/10/2026</t>
        </is>
      </c>
    </row>
    <row r="9">
      <c r="A9" t="n">
        <v>8</v>
      </c>
      <c r="B9" t="inlineStr">
        <is>
          <t>SKU-1008</t>
        </is>
      </c>
      <c r="C9" t="inlineStr">
        <is>
          <t>Caixa Correio Reforçada P</t>
        </is>
      </c>
      <c r="D9" t="inlineStr">
        <is>
          <t>Embalagens e Caixas</t>
        </is>
      </c>
      <c r="E9" t="inlineStr">
        <is>
          <t>Rua B-08-01-B</t>
        </is>
      </c>
      <c r="F9" t="n">
        <v>328</v>
      </c>
      <c r="G9" t="inlineStr">
        <is>
          <t>CX</t>
        </is>
      </c>
      <c r="H9" t="n">
        <v>2.79</v>
      </c>
      <c r="I9">
        <f>F9*H9</f>
        <v/>
      </c>
      <c r="J9" t="n">
        <v>250</v>
      </c>
      <c r="K9">
        <f>IF(F9&lt;=J9,"CRÍTICO","NORMAL")</f>
        <v/>
      </c>
      <c r="L9" t="n">
        <v>97</v>
      </c>
      <c r="M9" t="n">
        <v>69</v>
      </c>
      <c r="N9" t="inlineStr">
        <is>
          <t>04/10/2026</t>
        </is>
      </c>
      <c r="O9" t="inlineStr">
        <is>
          <t>22/10/2026</t>
        </is>
      </c>
    </row>
    <row r="10">
      <c r="A10" t="n">
        <v>9</v>
      </c>
      <c r="B10" t="inlineStr">
        <is>
          <t>SKU-1009</t>
        </is>
      </c>
      <c r="C10" t="inlineStr">
        <is>
          <t>Caixa Correio Reforçada M</t>
        </is>
      </c>
      <c r="D10" t="inlineStr">
        <is>
          <t>Embalagens e Caixas</t>
        </is>
      </c>
      <c r="E10" t="inlineStr">
        <is>
          <t>Rua C-12-03-A</t>
        </is>
      </c>
      <c r="F10" t="n">
        <v>453</v>
      </c>
      <c r="G10" t="inlineStr">
        <is>
          <t>CX</t>
        </is>
      </c>
      <c r="H10" t="n">
        <v>4</v>
      </c>
      <c r="I10">
        <f>F10*H10</f>
        <v/>
      </c>
      <c r="J10" t="n">
        <v>180</v>
      </c>
      <c r="K10">
        <f>IF(F10&lt;=J10,"CRÍTICO","NORMAL")</f>
        <v/>
      </c>
      <c r="L10" t="n">
        <v>45</v>
      </c>
      <c r="M10" t="n">
        <v>132</v>
      </c>
      <c r="N10" t="inlineStr">
        <is>
          <t>12/10/2026</t>
        </is>
      </c>
      <c r="O10" t="inlineStr">
        <is>
          <t>13/10/2026</t>
        </is>
      </c>
    </row>
    <row r="11">
      <c r="A11" t="n">
        <v>10</v>
      </c>
      <c r="B11" t="inlineStr">
        <is>
          <t>SKU-1010</t>
        </is>
      </c>
      <c r="C11" t="inlineStr">
        <is>
          <t>Caixa de Madeira Exportação</t>
        </is>
      </c>
      <c r="D11" t="inlineStr">
        <is>
          <t>Embalagens e Caixas</t>
        </is>
      </c>
      <c r="E11" t="inlineStr">
        <is>
          <t>Rua B-20-02-A</t>
        </is>
      </c>
      <c r="F11" t="n">
        <v>70</v>
      </c>
      <c r="G11" t="inlineStr">
        <is>
          <t>UN</t>
        </is>
      </c>
      <c r="H11" t="n">
        <v>119.55</v>
      </c>
      <c r="I11">
        <f>F11*H11</f>
        <v/>
      </c>
      <c r="J11" t="n">
        <v>15</v>
      </c>
      <c r="K11">
        <f>IF(F11&lt;=J11,"CRÍTICO","NORMAL")</f>
        <v/>
      </c>
      <c r="L11" t="n">
        <v>188</v>
      </c>
      <c r="M11" t="n">
        <v>128</v>
      </c>
      <c r="N11" t="inlineStr">
        <is>
          <t>16/10/2026</t>
        </is>
      </c>
      <c r="O11" t="inlineStr">
        <is>
          <t>18/10/2026</t>
        </is>
      </c>
    </row>
    <row r="12">
      <c r="A12" t="n">
        <v>11</v>
      </c>
      <c r="B12" t="inlineStr">
        <is>
          <t>SKU-1011</t>
        </is>
      </c>
      <c r="C12" t="inlineStr">
        <is>
          <t>Filme Stretch Manual 500x0,025mm (Rolo 4kg)</t>
        </is>
      </c>
      <c r="D12" t="inlineStr">
        <is>
          <t>Filmes e Proteção Plástica</t>
        </is>
      </c>
      <c r="E12" t="inlineStr">
        <is>
          <t>Rua D-22-03-A</t>
        </is>
      </c>
      <c r="F12" t="n">
        <v>25</v>
      </c>
      <c r="G12" t="inlineStr">
        <is>
          <t>RL</t>
        </is>
      </c>
      <c r="H12" t="n">
        <v>39.22</v>
      </c>
      <c r="I12">
        <f>F12*H12</f>
        <v/>
      </c>
      <c r="J12" t="n">
        <v>60</v>
      </c>
      <c r="K12">
        <f>IF(F12&lt;=J12,"CRÍTICO","NORMAL")</f>
        <v/>
      </c>
      <c r="L12" t="n">
        <v>99</v>
      </c>
      <c r="M12" t="n">
        <v>116</v>
      </c>
      <c r="N12" t="inlineStr">
        <is>
          <t>12/10/2026</t>
        </is>
      </c>
      <c r="O12" t="inlineStr">
        <is>
          <t>14/10/2026</t>
        </is>
      </c>
    </row>
    <row r="13">
      <c r="A13" t="n">
        <v>12</v>
      </c>
      <c r="B13" t="inlineStr">
        <is>
          <t>SKU-1012</t>
        </is>
      </c>
      <c r="C13" t="inlineStr">
        <is>
          <t>Filme Stretch Automático (Rolo 12kg)</t>
        </is>
      </c>
      <c r="D13" t="inlineStr">
        <is>
          <t>Filmes e Proteção Plástica</t>
        </is>
      </c>
      <c r="E13" t="inlineStr">
        <is>
          <t>Rua G-09-01-A</t>
        </is>
      </c>
      <c r="F13" t="n">
        <v>39</v>
      </c>
      <c r="G13" t="inlineStr">
        <is>
          <t>RL</t>
        </is>
      </c>
      <c r="H13" t="n">
        <v>119.33</v>
      </c>
      <c r="I13">
        <f>F13*H13</f>
        <v/>
      </c>
      <c r="J13" t="n">
        <v>30</v>
      </c>
      <c r="K13">
        <f>IF(F13&lt;=J13,"CRÍTICO","NORMAL")</f>
        <v/>
      </c>
      <c r="L13" t="n">
        <v>44</v>
      </c>
      <c r="M13" t="n">
        <v>80</v>
      </c>
      <c r="N13" t="inlineStr">
        <is>
          <t>04/10/2026</t>
        </is>
      </c>
      <c r="O13" t="inlineStr">
        <is>
          <t>25/10/2026</t>
        </is>
      </c>
    </row>
    <row r="14">
      <c r="A14" t="n">
        <v>13</v>
      </c>
      <c r="B14" t="inlineStr">
        <is>
          <t>SKU-1013</t>
        </is>
      </c>
      <c r="C14" t="inlineStr">
        <is>
          <t>Plástico Bolha Rolo 1,20m x 100m</t>
        </is>
      </c>
      <c r="D14" t="inlineStr">
        <is>
          <t>Filmes e Proteção Plástica</t>
        </is>
      </c>
      <c r="E14" t="inlineStr">
        <is>
          <t>Rua D-21-04-B</t>
        </is>
      </c>
      <c r="F14" t="n">
        <v>65</v>
      </c>
      <c r="G14" t="inlineStr">
        <is>
          <t>RL</t>
        </is>
      </c>
      <c r="H14" t="n">
        <v>84.65000000000001</v>
      </c>
      <c r="I14">
        <f>F14*H14</f>
        <v/>
      </c>
      <c r="J14" t="n">
        <v>25</v>
      </c>
      <c r="K14">
        <f>IF(F14&lt;=J14,"CRÍTICO","NORMAL")</f>
        <v/>
      </c>
      <c r="L14" t="n">
        <v>127</v>
      </c>
      <c r="M14" t="n">
        <v>137</v>
      </c>
      <c r="N14" t="inlineStr">
        <is>
          <t>05/10/2026</t>
        </is>
      </c>
      <c r="O14" t="inlineStr">
        <is>
          <t>09/10/2026</t>
        </is>
      </c>
    </row>
    <row r="15">
      <c r="A15" t="n">
        <v>14</v>
      </c>
      <c r="B15" t="inlineStr">
        <is>
          <t>SKU-1014</t>
        </is>
      </c>
      <c r="C15" t="inlineStr">
        <is>
          <t>Plástico Bolha Alta Densidade 1,00m x 50m</t>
        </is>
      </c>
      <c r="D15" t="inlineStr">
        <is>
          <t>Filmes e Proteção Plástica</t>
        </is>
      </c>
      <c r="E15" t="inlineStr">
        <is>
          <t>Rua C-08-05-B</t>
        </is>
      </c>
      <c r="F15" t="n">
        <v>44</v>
      </c>
      <c r="G15" t="inlineStr">
        <is>
          <t>RL</t>
        </is>
      </c>
      <c r="H15" t="n">
        <v>62.52</v>
      </c>
      <c r="I15">
        <f>F15*H15</f>
        <v/>
      </c>
      <c r="J15" t="n">
        <v>40</v>
      </c>
      <c r="K15">
        <f>IF(F15&lt;=J15,"CRÍTICO","NORMAL")</f>
        <v/>
      </c>
      <c r="L15" t="n">
        <v>46</v>
      </c>
      <c r="M15" t="n">
        <v>122</v>
      </c>
      <c r="N15" t="inlineStr">
        <is>
          <t>17/10/2026</t>
        </is>
      </c>
      <c r="O15" t="inlineStr">
        <is>
          <t>22/10/2026</t>
        </is>
      </c>
    </row>
    <row r="16">
      <c r="A16" t="n">
        <v>15</v>
      </c>
      <c r="B16" t="inlineStr">
        <is>
          <t>SKU-1015</t>
        </is>
      </c>
      <c r="C16" t="inlineStr">
        <is>
          <t>Filme Termoencolhível PEBD Rolo</t>
        </is>
      </c>
      <c r="D16" t="inlineStr">
        <is>
          <t>Filmes e Proteção Plástica</t>
        </is>
      </c>
      <c r="E16" t="inlineStr">
        <is>
          <t>Rua G-12-02-A</t>
        </is>
      </c>
      <c r="F16" t="n">
        <v>198</v>
      </c>
      <c r="G16" t="inlineStr">
        <is>
          <t>RL</t>
        </is>
      </c>
      <c r="H16" t="n">
        <v>139.91</v>
      </c>
      <c r="I16">
        <f>F16*H16</f>
        <v/>
      </c>
      <c r="J16" t="n">
        <v>20</v>
      </c>
      <c r="K16">
        <f>IF(F16&lt;=J16,"CRÍTICO","NORMAL")</f>
        <v/>
      </c>
      <c r="L16" t="n">
        <v>185</v>
      </c>
      <c r="M16" t="n">
        <v>37</v>
      </c>
      <c r="N16" t="inlineStr">
        <is>
          <t>13/10/2026</t>
        </is>
      </c>
      <c r="O16" t="inlineStr">
        <is>
          <t>21/10/2026</t>
        </is>
      </c>
    </row>
    <row r="17">
      <c r="A17" t="n">
        <v>16</v>
      </c>
      <c r="B17" t="inlineStr">
        <is>
          <t>SKU-1016</t>
        </is>
      </c>
      <c r="C17" t="inlineStr">
        <is>
          <t>Saco Bolha Anti-estático 20x30cm</t>
        </is>
      </c>
      <c r="D17" t="inlineStr">
        <is>
          <t>Filmes e Proteção Plástica</t>
        </is>
      </c>
      <c r="E17" t="inlineStr">
        <is>
          <t>Rua B-05-02-B</t>
        </is>
      </c>
      <c r="F17" t="n">
        <v>203</v>
      </c>
      <c r="G17" t="inlineStr">
        <is>
          <t>PCT</t>
        </is>
      </c>
      <c r="H17" t="n">
        <v>30.6</v>
      </c>
      <c r="I17">
        <f>F17*H17</f>
        <v/>
      </c>
      <c r="J17" t="n">
        <v>100</v>
      </c>
      <c r="K17">
        <f>IF(F17&lt;=J17,"CRÍTICO","NORMAL")</f>
        <v/>
      </c>
      <c r="L17" t="n">
        <v>70</v>
      </c>
      <c r="M17" t="n">
        <v>117</v>
      </c>
      <c r="N17" t="inlineStr">
        <is>
          <t>16/10/2026</t>
        </is>
      </c>
      <c r="O17" t="inlineStr">
        <is>
          <t>16/10/2026</t>
        </is>
      </c>
    </row>
    <row r="18">
      <c r="A18" t="n">
        <v>17</v>
      </c>
      <c r="B18" t="inlineStr">
        <is>
          <t>SKU-1017</t>
        </is>
      </c>
      <c r="C18" t="inlineStr">
        <is>
          <t>Saco Plástico PEBD 30x40cm (Pct 100un)</t>
        </is>
      </c>
      <c r="D18" t="inlineStr">
        <is>
          <t>Filmes e Proteção Plástica</t>
        </is>
      </c>
      <c r="E18" t="inlineStr">
        <is>
          <t>Rua H-17-03-A</t>
        </is>
      </c>
      <c r="F18" t="n">
        <v>156</v>
      </c>
      <c r="G18" t="inlineStr">
        <is>
          <t>PCT</t>
        </is>
      </c>
      <c r="H18" t="n">
        <v>25.04</v>
      </c>
      <c r="I18">
        <f>F18*H18</f>
        <v/>
      </c>
      <c r="J18" t="n">
        <v>80</v>
      </c>
      <c r="K18">
        <f>IF(F18&lt;=J18,"CRÍTICO","NORMAL")</f>
        <v/>
      </c>
      <c r="L18" t="n">
        <v>83</v>
      </c>
      <c r="M18" t="n">
        <v>167</v>
      </c>
      <c r="N18" t="inlineStr">
        <is>
          <t>11/10/2026</t>
        </is>
      </c>
      <c r="O18" t="inlineStr">
        <is>
          <t>27/10/2026</t>
        </is>
      </c>
    </row>
    <row r="19">
      <c r="A19" t="n">
        <v>18</v>
      </c>
      <c r="B19" t="inlineStr">
        <is>
          <t>SKU-1018</t>
        </is>
      </c>
      <c r="C19" t="inlineStr">
        <is>
          <t>Filme Stretch Preto Confidencial</t>
        </is>
      </c>
      <c r="D19" t="inlineStr">
        <is>
          <t>Filmes e Proteção Plástica</t>
        </is>
      </c>
      <c r="E19" t="inlineStr">
        <is>
          <t>Rua E-25-03-A</t>
        </is>
      </c>
      <c r="F19" t="n">
        <v>5</v>
      </c>
      <c r="G19" t="inlineStr">
        <is>
          <t>RL</t>
        </is>
      </c>
      <c r="H19" t="n">
        <v>41.73</v>
      </c>
      <c r="I19">
        <f>F19*H19</f>
        <v/>
      </c>
      <c r="J19" t="n">
        <v>50</v>
      </c>
      <c r="K19">
        <f>IF(F19&lt;=J19,"CRÍTICO","NORMAL")</f>
        <v/>
      </c>
      <c r="L19" t="n">
        <v>58</v>
      </c>
      <c r="M19" t="n">
        <v>125</v>
      </c>
      <c r="N19" t="inlineStr">
        <is>
          <t>10/10/2026</t>
        </is>
      </c>
      <c r="O19" t="inlineStr">
        <is>
          <t>12/10/2026</t>
        </is>
      </c>
    </row>
    <row r="20">
      <c r="A20" t="n">
        <v>19</v>
      </c>
      <c r="B20" t="inlineStr">
        <is>
          <t>SKU-1019</t>
        </is>
      </c>
      <c r="C20" t="inlineStr">
        <is>
          <t>Bobina Manta EPE Polietileno Expandido</t>
        </is>
      </c>
      <c r="D20" t="inlineStr">
        <is>
          <t>Filmes e Proteção Plástica</t>
        </is>
      </c>
      <c r="E20" t="inlineStr">
        <is>
          <t>Rua A-24-03-A</t>
        </is>
      </c>
      <c r="F20" t="n">
        <v>5</v>
      </c>
      <c r="G20" t="inlineStr">
        <is>
          <t>RL</t>
        </is>
      </c>
      <c r="H20" t="n">
        <v>102.04</v>
      </c>
      <c r="I20">
        <f>F20*H20</f>
        <v/>
      </c>
      <c r="J20" t="n">
        <v>15</v>
      </c>
      <c r="K20">
        <f>IF(F20&lt;=J20,"CRÍTICO","NORMAL")</f>
        <v/>
      </c>
      <c r="L20" t="n">
        <v>38</v>
      </c>
      <c r="M20" t="n">
        <v>78</v>
      </c>
      <c r="N20" t="inlineStr">
        <is>
          <t>17/10/2026</t>
        </is>
      </c>
      <c r="O20" t="inlineStr">
        <is>
          <t>21/10/2026</t>
        </is>
      </c>
    </row>
    <row r="21">
      <c r="A21" t="n">
        <v>20</v>
      </c>
      <c r="B21" t="inlineStr">
        <is>
          <t>SKU-1020</t>
        </is>
      </c>
      <c r="C21" t="inlineStr">
        <is>
          <t>Manta Alveolar Plástica PP 1x2m</t>
        </is>
      </c>
      <c r="D21" t="inlineStr">
        <is>
          <t>Filmes e Proteção Plástica</t>
        </is>
      </c>
      <c r="E21" t="inlineStr">
        <is>
          <t>Rua E-21-05-A</t>
        </is>
      </c>
      <c r="F21" t="n">
        <v>149</v>
      </c>
      <c r="G21" t="inlineStr">
        <is>
          <t>UN</t>
        </is>
      </c>
      <c r="H21" t="n">
        <v>14.81</v>
      </c>
      <c r="I21">
        <f>F21*H21</f>
        <v/>
      </c>
      <c r="J21" t="n">
        <v>100</v>
      </c>
      <c r="K21">
        <f>IF(F21&lt;=J21,"CRÍTICO","NORMAL")</f>
        <v/>
      </c>
      <c r="L21" t="n">
        <v>145</v>
      </c>
      <c r="M21" t="n">
        <v>66</v>
      </c>
      <c r="N21" t="inlineStr">
        <is>
          <t>05/10/2026</t>
        </is>
      </c>
      <c r="O21" t="inlineStr">
        <is>
          <t>14/10/2026</t>
        </is>
      </c>
    </row>
    <row r="22">
      <c r="A22" t="n">
        <v>21</v>
      </c>
      <c r="B22" t="inlineStr">
        <is>
          <t>SKU-1021</t>
        </is>
      </c>
      <c r="C22" t="inlineStr">
        <is>
          <t>Fita Adesiva Transparente 48mm x 50m</t>
        </is>
      </c>
      <c r="D22" t="inlineStr">
        <is>
          <t>Fitas e Lacres</t>
        </is>
      </c>
      <c r="E22" t="inlineStr">
        <is>
          <t>Rua A-20-03-B</t>
        </is>
      </c>
      <c r="F22" t="n">
        <v>162</v>
      </c>
      <c r="G22" t="inlineStr">
        <is>
          <t>RL</t>
        </is>
      </c>
      <c r="H22" t="n">
        <v>4.33</v>
      </c>
      <c r="I22">
        <f>F22*H22</f>
        <v/>
      </c>
      <c r="J22" t="n">
        <v>300</v>
      </c>
      <c r="K22">
        <f>IF(F22&lt;=J22,"CRÍTICO","NORMAL")</f>
        <v/>
      </c>
      <c r="L22" t="n">
        <v>94</v>
      </c>
      <c r="M22" t="n">
        <v>52</v>
      </c>
      <c r="N22" t="inlineStr">
        <is>
          <t>08/10/2026</t>
        </is>
      </c>
      <c r="O22" t="inlineStr">
        <is>
          <t>28/10/2026</t>
        </is>
      </c>
    </row>
    <row r="23">
      <c r="A23" t="n">
        <v>22</v>
      </c>
      <c r="B23" t="inlineStr">
        <is>
          <t>SKU-1022</t>
        </is>
      </c>
      <c r="C23" t="inlineStr">
        <is>
          <t>Fita Adesiva Marrom 48mm x 50m</t>
        </is>
      </c>
      <c r="D23" t="inlineStr">
        <is>
          <t>Fitas e Lacres</t>
        </is>
      </c>
      <c r="E23" t="inlineStr">
        <is>
          <t>Rua E-08-01-A</t>
        </is>
      </c>
      <c r="F23" t="n">
        <v>699</v>
      </c>
      <c r="G23" t="inlineStr">
        <is>
          <t>RL</t>
        </is>
      </c>
      <c r="H23" t="n">
        <v>4.7</v>
      </c>
      <c r="I23">
        <f>F23*H23</f>
        <v/>
      </c>
      <c r="J23" t="n">
        <v>300</v>
      </c>
      <c r="K23">
        <f>IF(F23&lt;=J23,"CRÍTICO","NORMAL")</f>
        <v/>
      </c>
      <c r="L23" t="n">
        <v>114</v>
      </c>
      <c r="M23" t="n">
        <v>165</v>
      </c>
      <c r="N23" t="inlineStr">
        <is>
          <t>16/10/2026</t>
        </is>
      </c>
      <c r="O23" t="inlineStr">
        <is>
          <t>24/10/2026</t>
        </is>
      </c>
    </row>
    <row r="24">
      <c r="A24" t="n">
        <v>23</v>
      </c>
      <c r="B24" t="inlineStr">
        <is>
          <t>SKU-1023</t>
        </is>
      </c>
      <c r="C24" t="inlineStr">
        <is>
          <t>Fita Adesiva Gomada c/ Nylon 70mm</t>
        </is>
      </c>
      <c r="D24" t="inlineStr">
        <is>
          <t>Fitas e Lacres</t>
        </is>
      </c>
      <c r="E24" t="inlineStr">
        <is>
          <t>Rua H-03-05-A</t>
        </is>
      </c>
      <c r="F24" t="n">
        <v>5</v>
      </c>
      <c r="G24" t="inlineStr">
        <is>
          <t>RL</t>
        </is>
      </c>
      <c r="H24" t="n">
        <v>28.45</v>
      </c>
      <c r="I24">
        <f>F24*H24</f>
        <v/>
      </c>
      <c r="J24" t="n">
        <v>50</v>
      </c>
      <c r="K24">
        <f>IF(F24&lt;=J24,"CRÍTICO","NORMAL")</f>
        <v/>
      </c>
      <c r="L24" t="n">
        <v>13</v>
      </c>
      <c r="M24" t="n">
        <v>167</v>
      </c>
      <c r="N24" t="inlineStr">
        <is>
          <t>22/10/2026</t>
        </is>
      </c>
      <c r="O24" t="inlineStr">
        <is>
          <t>22/10/2026</t>
        </is>
      </c>
    </row>
    <row r="25">
      <c r="A25" t="n">
        <v>24</v>
      </c>
      <c r="B25" t="inlineStr">
        <is>
          <t>SKU-1024</t>
        </is>
      </c>
      <c r="C25" t="inlineStr">
        <is>
          <t>Fita Demarcação de Solo Amarela/Preta 50mm</t>
        </is>
      </c>
      <c r="D25" t="inlineStr">
        <is>
          <t>Fitas e Lacres</t>
        </is>
      </c>
      <c r="E25" t="inlineStr">
        <is>
          <t>Rua C-09-05-B</t>
        </is>
      </c>
      <c r="F25" t="n">
        <v>49</v>
      </c>
      <c r="G25" t="inlineStr">
        <is>
          <t>RL</t>
        </is>
      </c>
      <c r="H25" t="n">
        <v>22.94</v>
      </c>
      <c r="I25">
        <f>F25*H25</f>
        <v/>
      </c>
      <c r="J25" t="n">
        <v>40</v>
      </c>
      <c r="K25">
        <f>IF(F25&lt;=J25,"CRÍTICO","NORMAL")</f>
        <v/>
      </c>
      <c r="L25" t="n">
        <v>179</v>
      </c>
      <c r="M25" t="n">
        <v>158</v>
      </c>
      <c r="N25" t="inlineStr">
        <is>
          <t>04/10/2026</t>
        </is>
      </c>
      <c r="O25" t="inlineStr">
        <is>
          <t>06/10/2026</t>
        </is>
      </c>
    </row>
    <row r="26">
      <c r="A26" t="n">
        <v>25</v>
      </c>
      <c r="B26" t="inlineStr">
        <is>
          <t>SKU-1025</t>
        </is>
      </c>
      <c r="C26" t="inlineStr">
        <is>
          <t>Fita Cuidado Fragil 48mm x 50m</t>
        </is>
      </c>
      <c r="D26" t="inlineStr">
        <is>
          <t>Fitas e Lacres</t>
        </is>
      </c>
      <c r="E26" t="inlineStr">
        <is>
          <t>Rua D-23-03-B</t>
        </is>
      </c>
      <c r="F26" t="n">
        <v>494</v>
      </c>
      <c r="G26" t="inlineStr">
        <is>
          <t>RL</t>
        </is>
      </c>
      <c r="H26" t="n">
        <v>6.9</v>
      </c>
      <c r="I26">
        <f>F26*H26</f>
        <v/>
      </c>
      <c r="J26" t="n">
        <v>150</v>
      </c>
      <c r="K26">
        <f>IF(F26&lt;=J26,"CRÍTICO","NORMAL")</f>
        <v/>
      </c>
      <c r="L26" t="n">
        <v>167</v>
      </c>
      <c r="M26" t="n">
        <v>123</v>
      </c>
      <c r="N26" t="inlineStr">
        <is>
          <t>10/10/2026</t>
        </is>
      </c>
      <c r="O26" t="inlineStr">
        <is>
          <t>21/10/2026</t>
        </is>
      </c>
    </row>
    <row r="27">
      <c r="A27" t="n">
        <v>26</v>
      </c>
      <c r="B27" t="inlineStr">
        <is>
          <t>SKU-1026</t>
        </is>
      </c>
      <c r="C27" t="inlineStr">
        <is>
          <t>Lacre de Segurança Polipropileno 30cm</t>
        </is>
      </c>
      <c r="D27" t="inlineStr">
        <is>
          <t>Fitas e Lacres</t>
        </is>
      </c>
      <c r="E27" t="inlineStr">
        <is>
          <t>Rua H-04-02-A</t>
        </is>
      </c>
      <c r="F27" t="n">
        <v>142</v>
      </c>
      <c r="G27" t="inlineStr">
        <is>
          <t>MIL</t>
        </is>
      </c>
      <c r="H27" t="n">
        <v>177.09</v>
      </c>
      <c r="I27">
        <f>F27*H27</f>
        <v/>
      </c>
      <c r="J27" t="n">
        <v>10</v>
      </c>
      <c r="K27">
        <f>IF(F27&lt;=J27,"CRÍTICO","NORMAL")</f>
        <v/>
      </c>
      <c r="L27" t="n">
        <v>164</v>
      </c>
      <c r="M27" t="n">
        <v>26</v>
      </c>
      <c r="N27" t="inlineStr">
        <is>
          <t>26/10/2026</t>
        </is>
      </c>
      <c r="O27" t="inlineStr">
        <is>
          <t>27/10/2026</t>
        </is>
      </c>
    </row>
    <row r="28">
      <c r="A28" t="n">
        <v>27</v>
      </c>
      <c r="B28" t="inlineStr">
        <is>
          <t>SKU-1027</t>
        </is>
      </c>
      <c r="C28" t="inlineStr">
        <is>
          <t>Lacre Metálico para Contêiner</t>
        </is>
      </c>
      <c r="D28" t="inlineStr">
        <is>
          <t>Fitas e Lacres</t>
        </is>
      </c>
      <c r="E28" t="inlineStr">
        <is>
          <t>Rua D-19-02-A</t>
        </is>
      </c>
      <c r="F28" t="n">
        <v>132</v>
      </c>
      <c r="G28" t="inlineStr">
        <is>
          <t>UN</t>
        </is>
      </c>
      <c r="H28" t="n">
        <v>8.68</v>
      </c>
      <c r="I28">
        <f>F28*H28</f>
        <v/>
      </c>
      <c r="J28" t="n">
        <v>200</v>
      </c>
      <c r="K28">
        <f>IF(F28&lt;=J28,"CRÍTICO","NORMAL")</f>
        <v/>
      </c>
      <c r="L28" t="n">
        <v>84</v>
      </c>
      <c r="M28" t="n">
        <v>32</v>
      </c>
      <c r="N28" t="inlineStr">
        <is>
          <t>17/10/2026</t>
        </is>
      </c>
      <c r="O28" t="inlineStr">
        <is>
          <t>23/10/2026</t>
        </is>
      </c>
    </row>
    <row r="29">
      <c r="A29" t="n">
        <v>28</v>
      </c>
      <c r="B29" t="inlineStr">
        <is>
          <t>SKU-1028</t>
        </is>
      </c>
      <c r="C29" t="inlineStr">
        <is>
          <t>Fita Dupla Face Industrial 19mm x 30m</t>
        </is>
      </c>
      <c r="D29" t="inlineStr">
        <is>
          <t>Fitas e Lacres</t>
        </is>
      </c>
      <c r="E29" t="inlineStr">
        <is>
          <t>Rua D-03-01-B</t>
        </is>
      </c>
      <c r="F29" t="n">
        <v>200</v>
      </c>
      <c r="G29" t="inlineStr">
        <is>
          <t>RL</t>
        </is>
      </c>
      <c r="H29" t="n">
        <v>35.05</v>
      </c>
      <c r="I29">
        <f>F29*H29</f>
        <v/>
      </c>
      <c r="J29" t="n">
        <v>40</v>
      </c>
      <c r="K29">
        <f>IF(F29&lt;=J29,"CRÍTICO","NORMAL")</f>
        <v/>
      </c>
      <c r="L29" t="n">
        <v>196</v>
      </c>
      <c r="M29" t="n">
        <v>12</v>
      </c>
      <c r="N29" t="inlineStr">
        <is>
          <t>27/10/2026</t>
        </is>
      </c>
      <c r="O29" t="inlineStr">
        <is>
          <t>27/10/2026</t>
        </is>
      </c>
    </row>
    <row r="30">
      <c r="A30" t="n">
        <v>29</v>
      </c>
      <c r="B30" t="inlineStr">
        <is>
          <t>SKU-1029</t>
        </is>
      </c>
      <c r="C30" t="inlineStr">
        <is>
          <t>Fita Crepe Masking 48mm x 50m</t>
        </is>
      </c>
      <c r="D30" t="inlineStr">
        <is>
          <t>Fitas e Lacres</t>
        </is>
      </c>
      <c r="E30" t="inlineStr">
        <is>
          <t>Rua H-07-05-A</t>
        </is>
      </c>
      <c r="F30" t="n">
        <v>327</v>
      </c>
      <c r="G30" t="inlineStr">
        <is>
          <t>RL</t>
        </is>
      </c>
      <c r="H30" t="n">
        <v>8.56</v>
      </c>
      <c r="I30">
        <f>F30*H30</f>
        <v/>
      </c>
      <c r="J30" t="n">
        <v>120</v>
      </c>
      <c r="K30">
        <f>IF(F30&lt;=J30,"CRÍTICO","NORMAL")</f>
        <v/>
      </c>
      <c r="L30" t="n">
        <v>71</v>
      </c>
      <c r="M30" t="n">
        <v>104</v>
      </c>
      <c r="N30" t="inlineStr">
        <is>
          <t>22/10/2026</t>
        </is>
      </c>
      <c r="O30" t="inlineStr">
        <is>
          <t>27/10/2026</t>
        </is>
      </c>
    </row>
    <row r="31">
      <c r="A31" t="n">
        <v>30</v>
      </c>
      <c r="B31" t="inlineStr">
        <is>
          <t>SKU-1030</t>
        </is>
      </c>
      <c r="C31" t="inlineStr">
        <is>
          <t>Fita Filamentosa de Alta Tração 24mm</t>
        </is>
      </c>
      <c r="D31" t="inlineStr">
        <is>
          <t>Fitas e Lacres</t>
        </is>
      </c>
      <c r="E31" t="inlineStr">
        <is>
          <t>Rua H-08-04-B</t>
        </is>
      </c>
      <c r="F31" t="n">
        <v>93</v>
      </c>
      <c r="G31" t="inlineStr">
        <is>
          <t>RL</t>
        </is>
      </c>
      <c r="H31" t="n">
        <v>43.17</v>
      </c>
      <c r="I31">
        <f>F31*H31</f>
        <v/>
      </c>
      <c r="J31" t="n">
        <v>30</v>
      </c>
      <c r="K31">
        <f>IF(F31&lt;=J31,"CRÍTICO","NORMAL")</f>
        <v/>
      </c>
      <c r="L31" t="n">
        <v>128</v>
      </c>
      <c r="M31" t="n">
        <v>56</v>
      </c>
      <c r="N31" t="inlineStr">
        <is>
          <t>22/10/2026</t>
        </is>
      </c>
      <c r="O31" t="inlineStr">
        <is>
          <t>22/10/2026</t>
        </is>
      </c>
    </row>
    <row r="32">
      <c r="A32" t="n">
        <v>31</v>
      </c>
      <c r="B32" t="inlineStr">
        <is>
          <t>SKU-1031</t>
        </is>
      </c>
      <c r="C32" t="inlineStr">
        <is>
          <t>Palete PBR Madeira Padronizado 1200x1000</t>
        </is>
      </c>
      <c r="D32" t="inlineStr">
        <is>
          <t>Paletes e Acessórios</t>
        </is>
      </c>
      <c r="E32" t="inlineStr">
        <is>
          <t>Rua G-12-04-B</t>
        </is>
      </c>
      <c r="F32" t="n">
        <v>353</v>
      </c>
      <c r="G32" t="inlineStr">
        <is>
          <t>UN</t>
        </is>
      </c>
      <c r="H32" t="n">
        <v>67.36</v>
      </c>
      <c r="I32">
        <f>F32*H32</f>
        <v/>
      </c>
      <c r="J32" t="n">
        <v>200</v>
      </c>
      <c r="K32">
        <f>IF(F32&lt;=J32,"CRÍTICO","NORMAL")</f>
        <v/>
      </c>
      <c r="L32" t="n">
        <v>172</v>
      </c>
      <c r="M32" t="n">
        <v>179</v>
      </c>
      <c r="N32" t="inlineStr">
        <is>
          <t>11/10/2026</t>
        </is>
      </c>
      <c r="O32" t="inlineStr">
        <is>
          <t>18/10/2026</t>
        </is>
      </c>
    </row>
    <row r="33">
      <c r="A33" t="n">
        <v>32</v>
      </c>
      <c r="B33" t="inlineStr">
        <is>
          <t>SKU-1032</t>
        </is>
      </c>
      <c r="C33" t="inlineStr">
        <is>
          <t>Palete Plástico Reforçado PEAD 1200x1000</t>
        </is>
      </c>
      <c r="D33" t="inlineStr">
        <is>
          <t>Paletes e Acessórios</t>
        </is>
      </c>
      <c r="E33" t="inlineStr">
        <is>
          <t>Rua B-02-04-B</t>
        </is>
      </c>
      <c r="F33" t="n">
        <v>91</v>
      </c>
      <c r="G33" t="inlineStr">
        <is>
          <t>UN</t>
        </is>
      </c>
      <c r="H33" t="n">
        <v>180.35</v>
      </c>
      <c r="I33">
        <f>F33*H33</f>
        <v/>
      </c>
      <c r="J33" t="n">
        <v>80</v>
      </c>
      <c r="K33">
        <f>IF(F33&lt;=J33,"CRÍTICO","NORMAL")</f>
        <v/>
      </c>
      <c r="L33" t="n">
        <v>116</v>
      </c>
      <c r="M33" t="n">
        <v>57</v>
      </c>
      <c r="N33" t="inlineStr">
        <is>
          <t>04/10/2026</t>
        </is>
      </c>
      <c r="O33" t="inlineStr">
        <is>
          <t>26/10/2026</t>
        </is>
      </c>
    </row>
    <row r="34">
      <c r="A34" t="n">
        <v>33</v>
      </c>
      <c r="B34" t="inlineStr">
        <is>
          <t>SKU-1033</t>
        </is>
      </c>
      <c r="C34" t="inlineStr">
        <is>
          <t>Palete Metalico Galvanizado Aço</t>
        </is>
      </c>
      <c r="D34" t="inlineStr">
        <is>
          <t>Paletes e Acessórios</t>
        </is>
      </c>
      <c r="E34" t="inlineStr">
        <is>
          <t>Rua H-05-04-A</t>
        </is>
      </c>
      <c r="F34" t="n">
        <v>152</v>
      </c>
      <c r="G34" t="inlineStr">
        <is>
          <t>UN</t>
        </is>
      </c>
      <c r="H34" t="n">
        <v>318.8</v>
      </c>
      <c r="I34">
        <f>F34*H34</f>
        <v/>
      </c>
      <c r="J34" t="n">
        <v>20</v>
      </c>
      <c r="K34">
        <f>IF(F34&lt;=J34,"CRÍTICO","NORMAL")</f>
        <v/>
      </c>
      <c r="L34" t="n">
        <v>156</v>
      </c>
      <c r="M34" t="n">
        <v>28</v>
      </c>
      <c r="N34" t="inlineStr">
        <is>
          <t>20/10/2026</t>
        </is>
      </c>
      <c r="O34" t="inlineStr">
        <is>
          <t>22/10/2026</t>
        </is>
      </c>
    </row>
    <row r="35">
      <c r="A35" t="n">
        <v>34</v>
      </c>
      <c r="B35" t="inlineStr">
        <is>
          <t>SKU-1034</t>
        </is>
      </c>
      <c r="C35" t="inlineStr">
        <is>
          <t>Cantoneira de Papelão 50x50x3mm (2 metros)</t>
        </is>
      </c>
      <c r="D35" t="inlineStr">
        <is>
          <t>Paletes e Acessórios</t>
        </is>
      </c>
      <c r="E35" t="inlineStr">
        <is>
          <t>Rua H-18-01-A</t>
        </is>
      </c>
      <c r="F35" t="n">
        <v>1513</v>
      </c>
      <c r="G35" t="inlineStr">
        <is>
          <t>UN</t>
        </is>
      </c>
      <c r="H35" t="n">
        <v>3.99</v>
      </c>
      <c r="I35">
        <f>F35*H35</f>
        <v/>
      </c>
      <c r="J35" t="n">
        <v>500</v>
      </c>
      <c r="K35">
        <f>IF(F35&lt;=J35,"CRÍTICO","NORMAL")</f>
        <v/>
      </c>
      <c r="L35" t="n">
        <v>141</v>
      </c>
      <c r="M35" t="n">
        <v>128</v>
      </c>
      <c r="N35" t="inlineStr">
        <is>
          <t>15/10/2026</t>
        </is>
      </c>
      <c r="O35" t="inlineStr">
        <is>
          <t>25/10/2026</t>
        </is>
      </c>
    </row>
    <row r="36">
      <c r="A36" t="n">
        <v>35</v>
      </c>
      <c r="B36" t="inlineStr">
        <is>
          <t>SKU-1035</t>
        </is>
      </c>
      <c r="C36" t="inlineStr">
        <is>
          <t>Separador Plástico para Palete 120x100</t>
        </is>
      </c>
      <c r="D36" t="inlineStr">
        <is>
          <t>Paletes e Acessórios</t>
        </is>
      </c>
      <c r="E36" t="inlineStr">
        <is>
          <t>Rua B-25-02-A</t>
        </is>
      </c>
      <c r="F36" t="n">
        <v>321</v>
      </c>
      <c r="G36" t="inlineStr">
        <is>
          <t>UN</t>
        </is>
      </c>
      <c r="H36" t="n">
        <v>11.98</v>
      </c>
      <c r="I36">
        <f>F36*H36</f>
        <v/>
      </c>
      <c r="J36" t="n">
        <v>150</v>
      </c>
      <c r="K36">
        <f>IF(F36&lt;=J36,"CRÍTICO","NORMAL")</f>
        <v/>
      </c>
      <c r="L36" t="n">
        <v>80</v>
      </c>
      <c r="M36" t="n">
        <v>29</v>
      </c>
      <c r="N36" t="inlineStr">
        <is>
          <t>21/10/2026</t>
        </is>
      </c>
      <c r="O36" t="inlineStr">
        <is>
          <t>23/10/2026</t>
        </is>
      </c>
    </row>
    <row r="37">
      <c r="A37" t="n">
        <v>36</v>
      </c>
      <c r="B37" t="inlineStr">
        <is>
          <t>SKU-1036</t>
        </is>
      </c>
      <c r="C37" t="inlineStr">
        <is>
          <t>Palete Descartável One-Way 1200x1000</t>
        </is>
      </c>
      <c r="D37" t="inlineStr">
        <is>
          <t>Paletes e Acessórios</t>
        </is>
      </c>
      <c r="E37" t="inlineStr">
        <is>
          <t>Rua G-02-02-B</t>
        </is>
      </c>
      <c r="F37" t="n">
        <v>90</v>
      </c>
      <c r="G37" t="inlineStr">
        <is>
          <t>UN</t>
        </is>
      </c>
      <c r="H37" t="n">
        <v>39.84</v>
      </c>
      <c r="I37">
        <f>F37*H37</f>
        <v/>
      </c>
      <c r="J37" t="n">
        <v>100</v>
      </c>
      <c r="K37">
        <f>IF(F37&lt;=J37,"CRÍTICO","NORMAL")</f>
        <v/>
      </c>
      <c r="L37" t="n">
        <v>61</v>
      </c>
      <c r="M37" t="n">
        <v>11</v>
      </c>
      <c r="N37" t="inlineStr">
        <is>
          <t>24/10/2026</t>
        </is>
      </c>
      <c r="O37" t="inlineStr">
        <is>
          <t>27/10/2026</t>
        </is>
      </c>
    </row>
    <row r="38">
      <c r="A38" t="n">
        <v>37</v>
      </c>
      <c r="B38" t="inlineStr">
        <is>
          <t>SKU-1037</t>
        </is>
      </c>
      <c r="C38" t="inlineStr">
        <is>
          <t>Colar para Palete Madeira Dobrável</t>
        </is>
      </c>
      <c r="D38" t="inlineStr">
        <is>
          <t>Paletes e Acessórios</t>
        </is>
      </c>
      <c r="E38" t="inlineStr">
        <is>
          <t>Rua H-10-04-B</t>
        </is>
      </c>
      <c r="F38" t="n">
        <v>5</v>
      </c>
      <c r="G38" t="inlineStr">
        <is>
          <t>UN</t>
        </is>
      </c>
      <c r="H38" t="n">
        <v>82.36</v>
      </c>
      <c r="I38">
        <f>F38*H38</f>
        <v/>
      </c>
      <c r="J38" t="n">
        <v>40</v>
      </c>
      <c r="K38">
        <f>IF(F38&lt;=J38,"CRÍTICO","NORMAL")</f>
        <v/>
      </c>
      <c r="L38" t="n">
        <v>135</v>
      </c>
      <c r="M38" t="n">
        <v>177</v>
      </c>
      <c r="N38" t="inlineStr">
        <is>
          <t>07/10/2026</t>
        </is>
      </c>
      <c r="O38" t="inlineStr">
        <is>
          <t>26/10/2026</t>
        </is>
      </c>
    </row>
    <row r="39">
      <c r="A39" t="n">
        <v>38</v>
      </c>
      <c r="B39" t="inlineStr">
        <is>
          <t>SKU-1038</t>
        </is>
      </c>
      <c r="C39" t="inlineStr">
        <is>
          <t>Rampa de Acesso para Paleteira</t>
        </is>
      </c>
      <c r="D39" t="inlineStr">
        <is>
          <t>Paletes e Acessórios</t>
        </is>
      </c>
      <c r="E39" t="inlineStr">
        <is>
          <t>Rua A-19-05-A</t>
        </is>
      </c>
      <c r="F39" t="n">
        <v>71</v>
      </c>
      <c r="G39" t="inlineStr">
        <is>
          <t>UN</t>
        </is>
      </c>
      <c r="H39" t="n">
        <v>441.61</v>
      </c>
      <c r="I39">
        <f>F39*H39</f>
        <v/>
      </c>
      <c r="J39" t="n">
        <v>5</v>
      </c>
      <c r="K39">
        <f>IF(F39&lt;=J39,"CRÍTICO","NORMAL")</f>
        <v/>
      </c>
      <c r="L39" t="n">
        <v>97</v>
      </c>
      <c r="M39" t="n">
        <v>41</v>
      </c>
      <c r="N39" t="inlineStr">
        <is>
          <t>07/10/2026</t>
        </is>
      </c>
      <c r="O39" t="inlineStr">
        <is>
          <t>19/10/2026</t>
        </is>
      </c>
    </row>
    <row r="40">
      <c r="A40" t="n">
        <v>39</v>
      </c>
      <c r="B40" t="inlineStr">
        <is>
          <t>SKU-1039</t>
        </is>
      </c>
      <c r="C40" t="inlineStr">
        <is>
          <t>Protetor de Montante de Porta-Palete</t>
        </is>
      </c>
      <c r="D40" t="inlineStr">
        <is>
          <t>Paletes e Acessórios</t>
        </is>
      </c>
      <c r="E40" t="inlineStr">
        <is>
          <t>Rua H-17-05-A</t>
        </is>
      </c>
      <c r="F40" t="n">
        <v>100</v>
      </c>
      <c r="G40" t="inlineStr">
        <is>
          <t>UN</t>
        </is>
      </c>
      <c r="H40" t="n">
        <v>99.38</v>
      </c>
      <c r="I40">
        <f>F40*H40</f>
        <v/>
      </c>
      <c r="J40" t="n">
        <v>60</v>
      </c>
      <c r="K40">
        <f>IF(F40&lt;=J40,"CRÍTICO","NORMAL")</f>
        <v/>
      </c>
      <c r="L40" t="n">
        <v>95</v>
      </c>
      <c r="M40" t="n">
        <v>19</v>
      </c>
      <c r="N40" t="inlineStr">
        <is>
          <t>24/10/2026</t>
        </is>
      </c>
      <c r="O40" t="inlineStr">
        <is>
          <t>28/10/2026</t>
        </is>
      </c>
    </row>
    <row r="41">
      <c r="A41" t="n">
        <v>40</v>
      </c>
      <c r="B41" t="inlineStr">
        <is>
          <t>SKU-1040</t>
        </is>
      </c>
      <c r="C41" t="inlineStr">
        <is>
          <t>Trava de Segurança para Longarina</t>
        </is>
      </c>
      <c r="D41" t="inlineStr">
        <is>
          <t>Paletes e Acessórios</t>
        </is>
      </c>
      <c r="E41" t="inlineStr">
        <is>
          <t>Rua C-03-05-A</t>
        </is>
      </c>
      <c r="F41" t="n">
        <v>903</v>
      </c>
      <c r="G41" t="inlineStr">
        <is>
          <t>UN</t>
        </is>
      </c>
      <c r="H41" t="n">
        <v>4.66</v>
      </c>
      <c r="I41">
        <f>F41*H41</f>
        <v/>
      </c>
      <c r="J41" t="n">
        <v>300</v>
      </c>
      <c r="K41">
        <f>IF(F41&lt;=J41,"CRÍTICO","NORMAL")</f>
        <v/>
      </c>
      <c r="L41" t="n">
        <v>93</v>
      </c>
      <c r="M41" t="n">
        <v>90</v>
      </c>
      <c r="N41" t="inlineStr">
        <is>
          <t>22/10/2026</t>
        </is>
      </c>
      <c r="O41" t="inlineStr">
        <is>
          <t>28/10/2026</t>
        </is>
      </c>
    </row>
    <row r="42">
      <c r="A42" t="n">
        <v>41</v>
      </c>
      <c r="B42" t="inlineStr">
        <is>
          <t>SKU-1041</t>
        </is>
      </c>
      <c r="C42" t="inlineStr">
        <is>
          <t>Cinta de Arquear Polipropileno (PP) 13mm</t>
        </is>
      </c>
      <c r="D42" t="inlineStr">
        <is>
          <t>Amarra e Arquear</t>
        </is>
      </c>
      <c r="E42" t="inlineStr">
        <is>
          <t>Rua B-19-02-A</t>
        </is>
      </c>
      <c r="F42" t="n">
        <v>19</v>
      </c>
      <c r="G42" t="inlineStr">
        <is>
          <t>RL</t>
        </is>
      </c>
      <c r="H42" t="n">
        <v>74.73999999999999</v>
      </c>
      <c r="I42">
        <f>F42*H42</f>
        <v/>
      </c>
      <c r="J42" t="n">
        <v>40</v>
      </c>
      <c r="K42">
        <f>IF(F42&lt;=J42,"CRÍTICO","NORMAL")</f>
        <v/>
      </c>
      <c r="L42" t="n">
        <v>50</v>
      </c>
      <c r="M42" t="n">
        <v>131</v>
      </c>
      <c r="N42" t="inlineStr">
        <is>
          <t>20/10/2026</t>
        </is>
      </c>
      <c r="O42" t="inlineStr">
        <is>
          <t>25/10/2026</t>
        </is>
      </c>
    </row>
    <row r="43">
      <c r="A43" t="n">
        <v>42</v>
      </c>
      <c r="B43" t="inlineStr">
        <is>
          <t>SKU-1042</t>
        </is>
      </c>
      <c r="C43" t="inlineStr">
        <is>
          <t>Cinta de Arquear Poliéster (PET) 16mm</t>
        </is>
      </c>
      <c r="D43" t="inlineStr">
        <is>
          <t>Amarra e Arquear</t>
        </is>
      </c>
      <c r="E43" t="inlineStr">
        <is>
          <t>Rua F-09-02-B</t>
        </is>
      </c>
      <c r="F43" t="n">
        <v>7</v>
      </c>
      <c r="G43" t="inlineStr">
        <is>
          <t>RL</t>
        </is>
      </c>
      <c r="H43" t="n">
        <v>141.6</v>
      </c>
      <c r="I43">
        <f>F43*H43</f>
        <v/>
      </c>
      <c r="J43" t="n">
        <v>25</v>
      </c>
      <c r="K43">
        <f>IF(F43&lt;=J43,"CRÍTICO","NORMAL")</f>
        <v/>
      </c>
      <c r="L43" t="n">
        <v>37</v>
      </c>
      <c r="M43" t="n">
        <v>47</v>
      </c>
      <c r="N43" t="inlineStr">
        <is>
          <t>20/10/2026</t>
        </is>
      </c>
      <c r="O43" t="inlineStr">
        <is>
          <t>28/10/2026</t>
        </is>
      </c>
    </row>
    <row r="44">
      <c r="A44" t="n">
        <v>43</v>
      </c>
      <c r="B44" t="inlineStr">
        <is>
          <t>SKU-1043</t>
        </is>
      </c>
      <c r="C44" t="inlineStr">
        <is>
          <t>Selo Metálico para Cinta PP 13mm</t>
        </is>
      </c>
      <c r="D44" t="inlineStr">
        <is>
          <t>Amarra e Arquear</t>
        </is>
      </c>
      <c r="E44" t="inlineStr">
        <is>
          <t>Rua E-15-03-A</t>
        </is>
      </c>
      <c r="F44" t="n">
        <v>5</v>
      </c>
      <c r="G44" t="inlineStr">
        <is>
          <t>MIL</t>
        </is>
      </c>
      <c r="H44" t="n">
        <v>91.62</v>
      </c>
      <c r="I44">
        <f>F44*H44</f>
        <v/>
      </c>
      <c r="J44" t="n">
        <v>15</v>
      </c>
      <c r="K44">
        <f>IF(F44&lt;=J44,"CRÍTICO","NORMAL")</f>
        <v/>
      </c>
      <c r="L44" t="n">
        <v>59</v>
      </c>
      <c r="M44" t="n">
        <v>149</v>
      </c>
      <c r="N44" t="inlineStr">
        <is>
          <t>20/10/2026</t>
        </is>
      </c>
      <c r="O44" t="inlineStr">
        <is>
          <t>25/10/2026</t>
        </is>
      </c>
    </row>
    <row r="45">
      <c r="A45" t="n">
        <v>44</v>
      </c>
      <c r="B45" t="inlineStr">
        <is>
          <t>SKU-1044</t>
        </is>
      </c>
      <c r="C45" t="inlineStr">
        <is>
          <t>Fivela Plástica para Arquear 13mm</t>
        </is>
      </c>
      <c r="D45" t="inlineStr">
        <is>
          <t>Amarra e Arquear</t>
        </is>
      </c>
      <c r="E45" t="inlineStr">
        <is>
          <t>Rua B-03-05-A</t>
        </is>
      </c>
      <c r="F45" t="n">
        <v>5</v>
      </c>
      <c r="G45" t="inlineStr">
        <is>
          <t>MIL</t>
        </is>
      </c>
      <c r="H45" t="n">
        <v>63.47</v>
      </c>
      <c r="I45">
        <f>F45*H45</f>
        <v/>
      </c>
      <c r="J45" t="n">
        <v>20</v>
      </c>
      <c r="K45">
        <f>IF(F45&lt;=J45,"CRÍTICO","NORMAL")</f>
        <v/>
      </c>
      <c r="L45" t="n">
        <v>26</v>
      </c>
      <c r="M45" t="n">
        <v>113</v>
      </c>
      <c r="N45" t="inlineStr">
        <is>
          <t>11/10/2026</t>
        </is>
      </c>
      <c r="O45" t="inlineStr">
        <is>
          <t>28/10/2026</t>
        </is>
      </c>
    </row>
    <row r="46">
      <c r="A46" t="n">
        <v>45</v>
      </c>
      <c r="B46" t="inlineStr">
        <is>
          <t>SKU-1045</t>
        </is>
      </c>
      <c r="C46" t="inlineStr">
        <is>
          <t>Cinta de Carga c/ Catraca 5 Toneladas 9m</t>
        </is>
      </c>
      <c r="D46" t="inlineStr">
        <is>
          <t>Amarra e Arquear</t>
        </is>
      </c>
      <c r="E46" t="inlineStr">
        <is>
          <t>Rua B-08-03-B</t>
        </is>
      </c>
      <c r="F46" t="n">
        <v>5</v>
      </c>
      <c r="G46" t="inlineStr">
        <is>
          <t>UN</t>
        </is>
      </c>
      <c r="H46" t="n">
        <v>109.32</v>
      </c>
      <c r="I46">
        <f>F46*H46</f>
        <v/>
      </c>
      <c r="J46" t="n">
        <v>30</v>
      </c>
      <c r="K46">
        <f>IF(F46&lt;=J46,"CRÍTICO","NORMAL")</f>
        <v/>
      </c>
      <c r="L46" t="n">
        <v>73</v>
      </c>
      <c r="M46" t="n">
        <v>130</v>
      </c>
      <c r="N46" t="inlineStr">
        <is>
          <t>07/10/2026</t>
        </is>
      </c>
      <c r="O46" t="inlineStr">
        <is>
          <t>23/10/2026</t>
        </is>
      </c>
    </row>
    <row r="47">
      <c r="A47" t="n">
        <v>46</v>
      </c>
      <c r="B47" t="inlineStr">
        <is>
          <t>SKU-1046</t>
        </is>
      </c>
      <c r="C47" t="inlineStr">
        <is>
          <t>Cinta Sling Tubular de Elevação 2T 3m</t>
        </is>
      </c>
      <c r="D47" t="inlineStr">
        <is>
          <t>Amarra e Arquear</t>
        </is>
      </c>
      <c r="E47" t="inlineStr">
        <is>
          <t>Rua E-20-05-A</t>
        </is>
      </c>
      <c r="F47" t="n">
        <v>190</v>
      </c>
      <c r="G47" t="inlineStr">
        <is>
          <t>UN</t>
        </is>
      </c>
      <c r="H47" t="n">
        <v>87.7</v>
      </c>
      <c r="I47">
        <f>F47*H47</f>
        <v/>
      </c>
      <c r="J47" t="n">
        <v>20</v>
      </c>
      <c r="K47">
        <f>IF(F47&lt;=J47,"CRÍTICO","NORMAL")</f>
        <v/>
      </c>
      <c r="L47" t="n">
        <v>166</v>
      </c>
      <c r="M47" t="n">
        <v>36</v>
      </c>
      <c r="N47" t="inlineStr">
        <is>
          <t>17/10/2026</t>
        </is>
      </c>
      <c r="O47" t="inlineStr">
        <is>
          <t>24/10/2026</t>
        </is>
      </c>
    </row>
    <row r="48">
      <c r="A48" t="n">
        <v>47</v>
      </c>
      <c r="B48" t="inlineStr">
        <is>
          <t>SKU-1047</t>
        </is>
      </c>
      <c r="C48" t="inlineStr">
        <is>
          <t>Aparelho Esticador para Cinta PET</t>
        </is>
      </c>
      <c r="D48" t="inlineStr">
        <is>
          <t>Amarra e Arquear</t>
        </is>
      </c>
      <c r="E48" t="inlineStr">
        <is>
          <t>Rua B-05-03-A</t>
        </is>
      </c>
      <c r="F48" t="n">
        <v>164</v>
      </c>
      <c r="G48" t="inlineStr">
        <is>
          <t>UN</t>
        </is>
      </c>
      <c r="H48" t="n">
        <v>389.21</v>
      </c>
      <c r="I48">
        <f>F48*H48</f>
        <v/>
      </c>
      <c r="J48" t="n">
        <v>8</v>
      </c>
      <c r="K48">
        <f>IF(F48&lt;=J48,"CRÍTICO","NORMAL")</f>
        <v/>
      </c>
      <c r="L48" t="n">
        <v>171</v>
      </c>
      <c r="M48" t="n">
        <v>10</v>
      </c>
      <c r="N48" t="inlineStr">
        <is>
          <t>18/10/2026</t>
        </is>
      </c>
      <c r="O48" t="inlineStr">
        <is>
          <t>21/10/2026</t>
        </is>
      </c>
    </row>
    <row r="49">
      <c r="A49" t="n">
        <v>48</v>
      </c>
      <c r="B49" t="inlineStr">
        <is>
          <t>SKU-1048</t>
        </is>
      </c>
      <c r="C49" t="inlineStr">
        <is>
          <t>Aparelho Selador para Cinta PP 13mm</t>
        </is>
      </c>
      <c r="D49" t="inlineStr">
        <is>
          <t>Amarra e Arquear</t>
        </is>
      </c>
      <c r="E49" t="inlineStr">
        <is>
          <t>Rua E-10-05-A</t>
        </is>
      </c>
      <c r="F49" t="n">
        <v>40</v>
      </c>
      <c r="G49" t="inlineStr">
        <is>
          <t>UN</t>
        </is>
      </c>
      <c r="H49" t="n">
        <v>206.7</v>
      </c>
      <c r="I49">
        <f>F49*H49</f>
        <v/>
      </c>
      <c r="J49" t="n">
        <v>10</v>
      </c>
      <c r="K49">
        <f>IF(F49&lt;=J49,"CRÍTICO","NORMAL")</f>
        <v/>
      </c>
      <c r="L49" t="n">
        <v>23</v>
      </c>
      <c r="M49" t="n">
        <v>13</v>
      </c>
      <c r="N49" t="inlineStr">
        <is>
          <t>02/10/2026</t>
        </is>
      </c>
      <c r="O49" t="inlineStr">
        <is>
          <t>07/10/2026</t>
        </is>
      </c>
    </row>
    <row r="50">
      <c r="A50" t="n">
        <v>49</v>
      </c>
      <c r="B50" t="inlineStr">
        <is>
          <t>SKU-1049</t>
        </is>
      </c>
      <c r="C50" t="inlineStr">
        <is>
          <t>Desenrolador de Fita PP c/ Rodas</t>
        </is>
      </c>
      <c r="D50" t="inlineStr">
        <is>
          <t>Amarra e Arquear</t>
        </is>
      </c>
      <c r="E50" t="inlineStr">
        <is>
          <t>Rua E-17-04-B</t>
        </is>
      </c>
      <c r="F50" t="n">
        <v>5</v>
      </c>
      <c r="G50" t="inlineStr">
        <is>
          <t>UN</t>
        </is>
      </c>
      <c r="H50" t="n">
        <v>278.18</v>
      </c>
      <c r="I50">
        <f>F50*H50</f>
        <v/>
      </c>
      <c r="J50" t="n">
        <v>6</v>
      </c>
      <c r="K50">
        <f>IF(F50&lt;=J50,"CRÍTICO","NORMAL")</f>
        <v/>
      </c>
      <c r="L50" t="n">
        <v>61</v>
      </c>
      <c r="M50" t="n">
        <v>78</v>
      </c>
      <c r="N50" t="inlineStr">
        <is>
          <t>14/10/2026</t>
        </is>
      </c>
      <c r="O50" t="inlineStr">
        <is>
          <t>22/10/2026</t>
        </is>
      </c>
    </row>
    <row r="51">
      <c r="A51" t="n">
        <v>50</v>
      </c>
      <c r="B51" t="inlineStr">
        <is>
          <t>SKU-1050</t>
        </is>
      </c>
      <c r="C51" t="inlineStr">
        <is>
          <t>Cantoneira Plástica de Proteção p/ Fita</t>
        </is>
      </c>
      <c r="D51" t="inlineStr">
        <is>
          <t>Amarra e Arquear</t>
        </is>
      </c>
      <c r="E51" t="inlineStr">
        <is>
          <t>Rua E-02-01-B</t>
        </is>
      </c>
      <c r="F51" t="n">
        <v>5</v>
      </c>
      <c r="G51" t="inlineStr">
        <is>
          <t>MIL</t>
        </is>
      </c>
      <c r="H51" t="n">
        <v>121.65</v>
      </c>
      <c r="I51">
        <f>F51*H51</f>
        <v/>
      </c>
      <c r="J51" t="n">
        <v>10</v>
      </c>
      <c r="K51">
        <f>IF(F51&lt;=J51,"CRÍTICO","NORMAL")</f>
        <v/>
      </c>
      <c r="L51" t="n">
        <v>14</v>
      </c>
      <c r="M51" t="n">
        <v>179</v>
      </c>
      <c r="N51" t="inlineStr">
        <is>
          <t>01/10/2026</t>
        </is>
      </c>
      <c r="O51" t="inlineStr">
        <is>
          <t>20/10/2026</t>
        </is>
      </c>
    </row>
    <row r="52">
      <c r="A52" t="n">
        <v>51</v>
      </c>
      <c r="B52" t="inlineStr">
        <is>
          <t>SKU-1051</t>
        </is>
      </c>
      <c r="C52" t="inlineStr">
        <is>
          <t>Etiqueta Térmica Adesiva 100x150mm (Rolo 500)</t>
        </is>
      </c>
      <c r="D52" t="inlineStr">
        <is>
          <t>Etiquetas e Identificação</t>
        </is>
      </c>
      <c r="E52" t="inlineStr">
        <is>
          <t>Rua C-24-04-B</t>
        </is>
      </c>
      <c r="F52" t="n">
        <v>217</v>
      </c>
      <c r="G52" t="inlineStr">
        <is>
          <t>RL</t>
        </is>
      </c>
      <c r="H52" t="n">
        <v>30.43</v>
      </c>
      <c r="I52">
        <f>F52*H52</f>
        <v/>
      </c>
      <c r="J52" t="n">
        <v>100</v>
      </c>
      <c r="K52">
        <f>IF(F52&lt;=J52,"CRÍTICO","NORMAL")</f>
        <v/>
      </c>
      <c r="L52" t="n">
        <v>80</v>
      </c>
      <c r="M52" t="n">
        <v>113</v>
      </c>
      <c r="N52" t="inlineStr">
        <is>
          <t>23/10/2026</t>
        </is>
      </c>
      <c r="O52" t="inlineStr">
        <is>
          <t>24/10/2026</t>
        </is>
      </c>
    </row>
    <row r="53">
      <c r="A53" t="n">
        <v>52</v>
      </c>
      <c r="B53" t="inlineStr">
        <is>
          <t>SKU-1052</t>
        </is>
      </c>
      <c r="C53" t="inlineStr">
        <is>
          <t>Etiqueta Couché 100x50mm (Rolo 1000)</t>
        </is>
      </c>
      <c r="D53" t="inlineStr">
        <is>
          <t>Etiquetas e Identificação</t>
        </is>
      </c>
      <c r="E53" t="inlineStr">
        <is>
          <t>Rua C-18-01-B</t>
        </is>
      </c>
      <c r="F53" t="n">
        <v>389</v>
      </c>
      <c r="G53" t="inlineStr">
        <is>
          <t>RL</t>
        </is>
      </c>
      <c r="H53" t="n">
        <v>28.15</v>
      </c>
      <c r="I53">
        <f>F53*H53</f>
        <v/>
      </c>
      <c r="J53" t="n">
        <v>120</v>
      </c>
      <c r="K53">
        <f>IF(F53&lt;=J53,"CRÍTICO","NORMAL")</f>
        <v/>
      </c>
      <c r="L53" t="n">
        <v>181</v>
      </c>
      <c r="M53" t="n">
        <v>92</v>
      </c>
      <c r="N53" t="inlineStr">
        <is>
          <t>05/10/2026</t>
        </is>
      </c>
      <c r="O53" t="inlineStr">
        <is>
          <t>19/10/2026</t>
        </is>
      </c>
    </row>
    <row r="54">
      <c r="A54" t="n">
        <v>53</v>
      </c>
      <c r="B54" t="inlineStr">
        <is>
          <t>SKU-1053</t>
        </is>
      </c>
      <c r="C54" t="inlineStr">
        <is>
          <t>Ribbon Cera 110mm x 74m para Zebra</t>
        </is>
      </c>
      <c r="D54" t="inlineStr">
        <is>
          <t>Etiquetas e Identificação</t>
        </is>
      </c>
      <c r="E54" t="inlineStr">
        <is>
          <t>Rua C-02-03-B</t>
        </is>
      </c>
      <c r="F54" t="n">
        <v>5</v>
      </c>
      <c r="G54" t="inlineStr">
        <is>
          <t>UN</t>
        </is>
      </c>
      <c r="H54" t="n">
        <v>13</v>
      </c>
      <c r="I54">
        <f>F54*H54</f>
        <v/>
      </c>
      <c r="J54" t="n">
        <v>150</v>
      </c>
      <c r="K54">
        <f>IF(F54&lt;=J54,"CRÍTICO","NORMAL")</f>
        <v/>
      </c>
      <c r="L54" t="n">
        <v>35</v>
      </c>
      <c r="M54" t="n">
        <v>90</v>
      </c>
      <c r="N54" t="inlineStr">
        <is>
          <t>07/10/2026</t>
        </is>
      </c>
      <c r="O54" t="inlineStr">
        <is>
          <t>19/10/2026</t>
        </is>
      </c>
    </row>
    <row r="55">
      <c r="A55" t="n">
        <v>54</v>
      </c>
      <c r="B55" t="inlineStr">
        <is>
          <t>SKU-1054</t>
        </is>
      </c>
      <c r="C55" t="inlineStr">
        <is>
          <t>Ribbon Misto Cera/Resina 110mm x 300m</t>
        </is>
      </c>
      <c r="D55" t="inlineStr">
        <is>
          <t>Etiquetas e Identificação</t>
        </is>
      </c>
      <c r="E55" t="inlineStr">
        <is>
          <t>Rua D-22-01-B</t>
        </is>
      </c>
      <c r="F55" t="n">
        <v>73</v>
      </c>
      <c r="G55" t="inlineStr">
        <is>
          <t>UN</t>
        </is>
      </c>
      <c r="H55" t="n">
        <v>39.46</v>
      </c>
      <c r="I55">
        <f>F55*H55</f>
        <v/>
      </c>
      <c r="J55" t="n">
        <v>80</v>
      </c>
      <c r="K55">
        <f>IF(F55&lt;=J55,"CRÍTICO","NORMAL")</f>
        <v/>
      </c>
      <c r="L55" t="n">
        <v>34</v>
      </c>
      <c r="M55" t="n">
        <v>161</v>
      </c>
      <c r="N55" t="inlineStr">
        <is>
          <t>12/10/2026</t>
        </is>
      </c>
      <c r="O55" t="inlineStr">
        <is>
          <t>16/10/2026</t>
        </is>
      </c>
    </row>
    <row r="56">
      <c r="A56" t="n">
        <v>55</v>
      </c>
      <c r="B56" t="inlineStr">
        <is>
          <t>SKU-1055</t>
        </is>
      </c>
      <c r="C56" t="inlineStr">
        <is>
          <t>Ribbon Resina 110mm x 300m Exigência Elevada</t>
        </is>
      </c>
      <c r="D56" t="inlineStr">
        <is>
          <t>Etiquetas e Identificação</t>
        </is>
      </c>
      <c r="E56" t="inlineStr">
        <is>
          <t>Rua C-08-02-A</t>
        </is>
      </c>
      <c r="F56" t="n">
        <v>82</v>
      </c>
      <c r="G56" t="inlineStr">
        <is>
          <t>UN</t>
        </is>
      </c>
      <c r="H56" t="n">
        <v>61.91</v>
      </c>
      <c r="I56">
        <f>F56*H56</f>
        <v/>
      </c>
      <c r="J56" t="n">
        <v>50</v>
      </c>
      <c r="K56">
        <f>IF(F56&lt;=J56,"CRÍTICO","NORMAL")</f>
        <v/>
      </c>
      <c r="L56" t="n">
        <v>161</v>
      </c>
      <c r="M56" t="n">
        <v>169</v>
      </c>
      <c r="N56" t="inlineStr">
        <is>
          <t>24/10/2026</t>
        </is>
      </c>
      <c r="O56" t="inlineStr">
        <is>
          <t>28/10/2026</t>
        </is>
      </c>
    </row>
    <row r="57">
      <c r="A57" t="n">
        <v>56</v>
      </c>
      <c r="B57" t="inlineStr">
        <is>
          <t>SKU-1056</t>
        </is>
      </c>
      <c r="C57" t="inlineStr">
        <is>
          <t>Porta Etiqueta Magnético para Prateleira</t>
        </is>
      </c>
      <c r="D57" t="inlineStr">
        <is>
          <t>Etiquetas e Identificação</t>
        </is>
      </c>
      <c r="E57" t="inlineStr">
        <is>
          <t>Rua G-22-02-B</t>
        </is>
      </c>
      <c r="F57" t="n">
        <v>358</v>
      </c>
      <c r="G57" t="inlineStr">
        <is>
          <t>UN</t>
        </is>
      </c>
      <c r="H57" t="n">
        <v>6.69</v>
      </c>
      <c r="I57">
        <f>F57*H57</f>
        <v/>
      </c>
      <c r="J57" t="n">
        <v>400</v>
      </c>
      <c r="K57">
        <f>IF(F57&lt;=J57,"CRÍTICO","NORMAL")</f>
        <v/>
      </c>
      <c r="L57" t="n">
        <v>101</v>
      </c>
      <c r="M57" t="n">
        <v>23</v>
      </c>
      <c r="N57" t="inlineStr">
        <is>
          <t>19/10/2026</t>
        </is>
      </c>
      <c r="O57" t="inlineStr">
        <is>
          <t>28/10/2026</t>
        </is>
      </c>
    </row>
    <row r="58">
      <c r="A58" t="n">
        <v>57</v>
      </c>
      <c r="B58" t="inlineStr">
        <is>
          <t>SKU-1057</t>
        </is>
      </c>
      <c r="C58" t="inlineStr">
        <is>
          <t>Etiqueta de Código de Barras Bipag</t>
        </is>
      </c>
      <c r="D58" t="inlineStr">
        <is>
          <t>Etiquetas e Identificação</t>
        </is>
      </c>
      <c r="E58" t="inlineStr">
        <is>
          <t>Rua G-02-04-A</t>
        </is>
      </c>
      <c r="F58" t="n">
        <v>28</v>
      </c>
      <c r="G58" t="inlineStr">
        <is>
          <t>MIL</t>
        </is>
      </c>
      <c r="H58" t="n">
        <v>46.42</v>
      </c>
      <c r="I58">
        <f>F58*H58</f>
        <v/>
      </c>
      <c r="J58" t="n">
        <v>30</v>
      </c>
      <c r="K58">
        <f>IF(F58&lt;=J58,"CRÍTICO","NORMAL")</f>
        <v/>
      </c>
      <c r="L58" t="n">
        <v>35</v>
      </c>
      <c r="M58" t="n">
        <v>28</v>
      </c>
      <c r="N58" t="inlineStr">
        <is>
          <t>23/10/2026</t>
        </is>
      </c>
      <c r="O58" t="inlineStr">
        <is>
          <t>23/10/2026</t>
        </is>
      </c>
    </row>
    <row r="59">
      <c r="A59" t="n">
        <v>58</v>
      </c>
      <c r="B59" t="inlineStr">
        <is>
          <t>SKU-1058</t>
        </is>
      </c>
      <c r="C59" t="inlineStr">
        <is>
          <t>Etiqueta Tag Amarela p/ Inventário</t>
        </is>
      </c>
      <c r="D59" t="inlineStr">
        <is>
          <t>Etiquetas e Identificação</t>
        </is>
      </c>
      <c r="E59" t="inlineStr">
        <is>
          <t>Rua F-10-02-A</t>
        </is>
      </c>
      <c r="F59" t="n">
        <v>58</v>
      </c>
      <c r="G59" t="inlineStr">
        <is>
          <t>MIL</t>
        </is>
      </c>
      <c r="H59" t="n">
        <v>55.88</v>
      </c>
      <c r="I59">
        <f>F59*H59</f>
        <v/>
      </c>
      <c r="J59" t="n">
        <v>20</v>
      </c>
      <c r="K59">
        <f>IF(F59&lt;=J59,"CRÍTICO","NORMAL")</f>
        <v/>
      </c>
      <c r="L59" t="n">
        <v>178</v>
      </c>
      <c r="M59" t="n">
        <v>128</v>
      </c>
      <c r="N59" t="inlineStr">
        <is>
          <t>25/10/2026</t>
        </is>
      </c>
      <c r="O59" t="inlineStr">
        <is>
          <t>26/10/2026</t>
        </is>
      </c>
    </row>
    <row r="60">
      <c r="A60" t="n">
        <v>59</v>
      </c>
      <c r="B60" t="inlineStr">
        <is>
          <t>SKU-1059</t>
        </is>
      </c>
      <c r="C60" t="inlineStr">
        <is>
          <t>Marcador Industrial Permanente Preto</t>
        </is>
      </c>
      <c r="D60" t="inlineStr">
        <is>
          <t>Etiquetas e Identificação</t>
        </is>
      </c>
      <c r="E60" t="inlineStr">
        <is>
          <t>Rua F-09-01-B</t>
        </is>
      </c>
      <c r="F60" t="n">
        <v>324</v>
      </c>
      <c r="G60" t="inlineStr">
        <is>
          <t>UN</t>
        </is>
      </c>
      <c r="H60" t="n">
        <v>7.91</v>
      </c>
      <c r="I60">
        <f>F60*H60</f>
        <v/>
      </c>
      <c r="J60" t="n">
        <v>200</v>
      </c>
      <c r="K60">
        <f>IF(F60&lt;=J60,"CRÍTICO","NORMAL")</f>
        <v/>
      </c>
      <c r="L60" t="n">
        <v>197</v>
      </c>
      <c r="M60" t="n">
        <v>113</v>
      </c>
      <c r="N60" t="inlineStr">
        <is>
          <t>09/10/2026</t>
        </is>
      </c>
      <c r="O60" t="inlineStr">
        <is>
          <t>18/10/2026</t>
        </is>
      </c>
    </row>
    <row r="61">
      <c r="A61" t="n">
        <v>60</v>
      </c>
      <c r="B61" t="inlineStr">
        <is>
          <t>SKU-1060</t>
        </is>
      </c>
      <c r="C61" t="inlineStr">
        <is>
          <t>Cartão de Endereçamento PVC p/ Porta-Palete</t>
        </is>
      </c>
      <c r="D61" t="inlineStr">
        <is>
          <t>Etiquetas e Identificação</t>
        </is>
      </c>
      <c r="E61" t="inlineStr">
        <is>
          <t>Rua F-01-01-B</t>
        </is>
      </c>
      <c r="F61" t="n">
        <v>234</v>
      </c>
      <c r="G61" t="inlineStr">
        <is>
          <t>UN</t>
        </is>
      </c>
      <c r="H61" t="n">
        <v>8.970000000000001</v>
      </c>
      <c r="I61">
        <f>F61*H61</f>
        <v/>
      </c>
      <c r="J61" t="n">
        <v>300</v>
      </c>
      <c r="K61">
        <f>IF(F61&lt;=J61,"CRÍTICO","NORMAL")</f>
        <v/>
      </c>
      <c r="L61" t="n">
        <v>185</v>
      </c>
      <c r="M61" t="n">
        <v>161</v>
      </c>
      <c r="N61" t="inlineStr">
        <is>
          <t>13/10/2026</t>
        </is>
      </c>
      <c r="O61" t="inlineStr">
        <is>
          <t>28/10/2026</t>
        </is>
      </c>
    </row>
    <row r="62">
      <c r="A62" t="n">
        <v>61</v>
      </c>
      <c r="B62" t="inlineStr">
        <is>
          <t>SKU-1061</t>
        </is>
      </c>
      <c r="C62" t="inlineStr">
        <is>
          <t>Luva de Proteção Multitato Nitrílica Tam G</t>
        </is>
      </c>
      <c r="D62" t="inlineStr">
        <is>
          <t>Equipamentos de Proteção Individual (EPI)</t>
        </is>
      </c>
      <c r="E62" t="inlineStr">
        <is>
          <t>Rua A-04-05-B</t>
        </is>
      </c>
      <c r="F62" t="n">
        <v>139</v>
      </c>
      <c r="G62" t="inlineStr">
        <is>
          <t>PAR</t>
        </is>
      </c>
      <c r="H62" t="n">
        <v>12.79</v>
      </c>
      <c r="I62">
        <f>F62*H62</f>
        <v/>
      </c>
      <c r="J62" t="n">
        <v>150</v>
      </c>
      <c r="K62">
        <f>IF(F62&lt;=J62,"CRÍTICO","NORMAL")</f>
        <v/>
      </c>
      <c r="L62" t="n">
        <v>116</v>
      </c>
      <c r="M62" t="n">
        <v>157</v>
      </c>
      <c r="N62" t="inlineStr">
        <is>
          <t>06/10/2026</t>
        </is>
      </c>
      <c r="O62" t="inlineStr">
        <is>
          <t>27/10/2026</t>
        </is>
      </c>
    </row>
    <row r="63">
      <c r="A63" t="n">
        <v>62</v>
      </c>
      <c r="B63" t="inlineStr">
        <is>
          <t>SKU-1062</t>
        </is>
      </c>
      <c r="C63" t="inlineStr">
        <is>
          <t>Luva Vaqueta de Couro Cano Curto</t>
        </is>
      </c>
      <c r="D63" t="inlineStr">
        <is>
          <t>Equipamentos de Proteção Individual (EPI)</t>
        </is>
      </c>
      <c r="E63" t="inlineStr">
        <is>
          <t>Rua G-20-05-A</t>
        </is>
      </c>
      <c r="F63" t="n">
        <v>211</v>
      </c>
      <c r="G63" t="inlineStr">
        <is>
          <t>PAR</t>
        </is>
      </c>
      <c r="H63" t="n">
        <v>29.12</v>
      </c>
      <c r="I63">
        <f>F63*H63</f>
        <v/>
      </c>
      <c r="J63" t="n">
        <v>80</v>
      </c>
      <c r="K63">
        <f>IF(F63&lt;=J63,"CRÍTICO","NORMAL")</f>
        <v/>
      </c>
      <c r="L63" t="n">
        <v>96</v>
      </c>
      <c r="M63" t="n">
        <v>29</v>
      </c>
      <c r="N63" t="inlineStr">
        <is>
          <t>11/10/2026</t>
        </is>
      </c>
      <c r="O63" t="inlineStr">
        <is>
          <t>15/10/2026</t>
        </is>
      </c>
    </row>
    <row r="64">
      <c r="A64" t="n">
        <v>63</v>
      </c>
      <c r="B64" t="inlineStr">
        <is>
          <t>SKU-1063</t>
        </is>
      </c>
      <c r="C64" t="inlineStr">
        <is>
          <t>Bota de Segurança c/ Biqueira de Aço Tam 41</t>
        </is>
      </c>
      <c r="D64" t="inlineStr">
        <is>
          <t>Equipamentos de Proteção Individual (EPI)</t>
        </is>
      </c>
      <c r="E64" t="inlineStr">
        <is>
          <t>Rua E-02-04-A</t>
        </is>
      </c>
      <c r="F64" t="n">
        <v>114</v>
      </c>
      <c r="G64" t="inlineStr">
        <is>
          <t>PAR</t>
        </is>
      </c>
      <c r="H64" t="n">
        <v>119.89</v>
      </c>
      <c r="I64">
        <f>F64*H64</f>
        <v/>
      </c>
      <c r="J64" t="n">
        <v>40</v>
      </c>
      <c r="K64">
        <f>IF(F64&lt;=J64,"CRÍTICO","NORMAL")</f>
        <v/>
      </c>
      <c r="L64" t="n">
        <v>61</v>
      </c>
      <c r="M64" t="n">
        <v>47</v>
      </c>
      <c r="N64" t="inlineStr">
        <is>
          <t>11/10/2026</t>
        </is>
      </c>
      <c r="O64" t="inlineStr">
        <is>
          <t>13/10/2026</t>
        </is>
      </c>
    </row>
    <row r="65">
      <c r="A65" t="n">
        <v>64</v>
      </c>
      <c r="B65" t="inlineStr">
        <is>
          <t>SKU-1064</t>
        </is>
      </c>
      <c r="C65" t="inlineStr">
        <is>
          <t>Óculos de Proteção Policarbonato Incolor</t>
        </is>
      </c>
      <c r="D65" t="inlineStr">
        <is>
          <t>Equipamentos de Proteção Individual (EPI)</t>
        </is>
      </c>
      <c r="E65" t="inlineStr">
        <is>
          <t>Rua D-12-04-A</t>
        </is>
      </c>
      <c r="F65" t="n">
        <v>300</v>
      </c>
      <c r="G65" t="inlineStr">
        <is>
          <t>UN</t>
        </is>
      </c>
      <c r="H65" t="n">
        <v>8.859999999999999</v>
      </c>
      <c r="I65">
        <f>F65*H65</f>
        <v/>
      </c>
      <c r="J65" t="n">
        <v>120</v>
      </c>
      <c r="K65">
        <f>IF(F65&lt;=J65,"CRÍTICO","NORMAL")</f>
        <v/>
      </c>
      <c r="L65" t="n">
        <v>44</v>
      </c>
      <c r="M65" t="n">
        <v>104</v>
      </c>
      <c r="N65" t="inlineStr">
        <is>
          <t>04/10/2026</t>
        </is>
      </c>
      <c r="O65" t="inlineStr">
        <is>
          <t>21/10/2026</t>
        </is>
      </c>
    </row>
    <row r="66">
      <c r="A66" t="n">
        <v>65</v>
      </c>
      <c r="B66" t="inlineStr">
        <is>
          <t>SKU-1065</t>
        </is>
      </c>
      <c r="C66" t="inlineStr">
        <is>
          <t>Protetor Auricular de Inserção Cordoalha</t>
        </is>
      </c>
      <c r="D66" t="inlineStr">
        <is>
          <t>Equipamentos de Proteção Individual (EPI)</t>
        </is>
      </c>
      <c r="E66" t="inlineStr">
        <is>
          <t>Rua F-22-01-B</t>
        </is>
      </c>
      <c r="F66" t="n">
        <v>1286</v>
      </c>
      <c r="G66" t="inlineStr">
        <is>
          <t>UN</t>
        </is>
      </c>
      <c r="H66" t="n">
        <v>2.16</v>
      </c>
      <c r="I66">
        <f>F66*H66</f>
        <v/>
      </c>
      <c r="J66" t="n">
        <v>500</v>
      </c>
      <c r="K66">
        <f>IF(F66&lt;=J66,"CRÍTICO","NORMAL")</f>
        <v/>
      </c>
      <c r="L66" t="n">
        <v>91</v>
      </c>
      <c r="M66" t="n">
        <v>55</v>
      </c>
      <c r="N66" t="inlineStr">
        <is>
          <t>21/10/2026</t>
        </is>
      </c>
      <c r="O66" t="inlineStr">
        <is>
          <t>23/10/2026</t>
        </is>
      </c>
    </row>
    <row r="67">
      <c r="A67" t="n">
        <v>66</v>
      </c>
      <c r="B67" t="inlineStr">
        <is>
          <t>SKU-1066</t>
        </is>
      </c>
      <c r="C67" t="inlineStr">
        <is>
          <t>Capacete de Segurança Classe B c/ Jugular</t>
        </is>
      </c>
      <c r="D67" t="inlineStr">
        <is>
          <t>Equipamentos de Proteção Individual (EPI)</t>
        </is>
      </c>
      <c r="E67" t="inlineStr">
        <is>
          <t>Rua F-13-03-A</t>
        </is>
      </c>
      <c r="F67" t="n">
        <v>99</v>
      </c>
      <c r="G67" t="inlineStr">
        <is>
          <t>UN</t>
        </is>
      </c>
      <c r="H67" t="n">
        <v>31.75</v>
      </c>
      <c r="I67">
        <f>F67*H67</f>
        <v/>
      </c>
      <c r="J67" t="n">
        <v>50</v>
      </c>
      <c r="K67">
        <f>IF(F67&lt;=J67,"CRÍTICO","NORMAL")</f>
        <v/>
      </c>
      <c r="L67" t="n">
        <v>164</v>
      </c>
      <c r="M67" t="n">
        <v>100</v>
      </c>
      <c r="N67" t="inlineStr">
        <is>
          <t>27/10/2026</t>
        </is>
      </c>
      <c r="O67" t="inlineStr">
        <is>
          <t>27/10/2026</t>
        </is>
      </c>
    </row>
    <row r="68">
      <c r="A68" t="n">
        <v>67</v>
      </c>
      <c r="B68" t="inlineStr">
        <is>
          <t>SKU-1067</t>
        </is>
      </c>
      <c r="C68" t="inlineStr">
        <is>
          <t>Colete Refletivo Amarelo Fluorescente M</t>
        </is>
      </c>
      <c r="D68" t="inlineStr">
        <is>
          <t>Equipamentos de Proteção Individual (EPI)</t>
        </is>
      </c>
      <c r="E68" t="inlineStr">
        <is>
          <t>Rua C-20-05-B</t>
        </is>
      </c>
      <c r="F68" t="n">
        <v>230</v>
      </c>
      <c r="G68" t="inlineStr">
        <is>
          <t>UN</t>
        </is>
      </c>
      <c r="H68" t="n">
        <v>22.11</v>
      </c>
      <c r="I68">
        <f>F68*H68</f>
        <v/>
      </c>
      <c r="J68" t="n">
        <v>80</v>
      </c>
      <c r="K68">
        <f>IF(F68&lt;=J68,"CRÍTICO","NORMAL")</f>
        <v/>
      </c>
      <c r="L68" t="n">
        <v>124</v>
      </c>
      <c r="M68" t="n">
        <v>38</v>
      </c>
      <c r="N68" t="inlineStr">
        <is>
          <t>19/10/2026</t>
        </is>
      </c>
      <c r="O68" t="inlineStr">
        <is>
          <t>20/10/2026</t>
        </is>
      </c>
    </row>
    <row r="69">
      <c r="A69" t="n">
        <v>68</v>
      </c>
      <c r="B69" t="inlineStr">
        <is>
          <t>SKU-1068</t>
        </is>
      </c>
      <c r="C69" t="inlineStr">
        <is>
          <t>Mascara Respiratória PFF2 N95</t>
        </is>
      </c>
      <c r="D69" t="inlineStr">
        <is>
          <t>Equipamentos de Proteção Individual (EPI)</t>
        </is>
      </c>
      <c r="E69" t="inlineStr">
        <is>
          <t>Rua E-10-02-B</t>
        </is>
      </c>
      <c r="F69" t="n">
        <v>688</v>
      </c>
      <c r="G69" t="inlineStr">
        <is>
          <t>UN</t>
        </is>
      </c>
      <c r="H69" t="n">
        <v>4.55</v>
      </c>
      <c r="I69">
        <f>F69*H69</f>
        <v/>
      </c>
      <c r="J69" t="n">
        <v>300</v>
      </c>
      <c r="K69">
        <f>IF(F69&lt;=J69,"CRÍTICO","NORMAL")</f>
        <v/>
      </c>
      <c r="L69" t="n">
        <v>101</v>
      </c>
      <c r="M69" t="n">
        <v>163</v>
      </c>
      <c r="N69" t="inlineStr">
        <is>
          <t>21/10/2026</t>
        </is>
      </c>
      <c r="O69" t="inlineStr">
        <is>
          <t>26/10/2026</t>
        </is>
      </c>
    </row>
    <row r="70">
      <c r="A70" t="n">
        <v>69</v>
      </c>
      <c r="B70" t="inlineStr">
        <is>
          <t>SKU-1069</t>
        </is>
      </c>
      <c r="C70" t="inlineStr">
        <is>
          <t>Avental de PVC Impermeável 1,20m</t>
        </is>
      </c>
      <c r="D70" t="inlineStr">
        <is>
          <t>Equipamentos de Proteção Individual (EPI)</t>
        </is>
      </c>
      <c r="E70" t="inlineStr">
        <is>
          <t>Rua H-15-04-A</t>
        </is>
      </c>
      <c r="F70" t="n">
        <v>248</v>
      </c>
      <c r="G70" t="inlineStr">
        <is>
          <t>UN</t>
        </is>
      </c>
      <c r="H70" t="n">
        <v>25.93</v>
      </c>
      <c r="I70">
        <f>F70*H70</f>
        <v/>
      </c>
      <c r="J70" t="n">
        <v>40</v>
      </c>
      <c r="K70">
        <f>IF(F70&lt;=J70,"CRÍTICO","NORMAL")</f>
        <v/>
      </c>
      <c r="L70" t="n">
        <v>158</v>
      </c>
      <c r="M70" t="n">
        <v>10</v>
      </c>
      <c r="N70" t="inlineStr">
        <is>
          <t>06/10/2026</t>
        </is>
      </c>
      <c r="O70" t="inlineStr">
        <is>
          <t>22/10/2026</t>
        </is>
      </c>
    </row>
    <row r="71">
      <c r="A71" t="n">
        <v>70</v>
      </c>
      <c r="B71" t="inlineStr">
        <is>
          <t>SKU-1070</t>
        </is>
      </c>
      <c r="C71" t="inlineStr">
        <is>
          <t>Cinto de Segurança Paraquedista c/ Talabarte</t>
        </is>
      </c>
      <c r="D71" t="inlineStr">
        <is>
          <t>Equipamentos de Proteção Individual (EPI)</t>
        </is>
      </c>
      <c r="E71" t="inlineStr">
        <is>
          <t>Rua B-10-05-B</t>
        </is>
      </c>
      <c r="F71" t="n">
        <v>5</v>
      </c>
      <c r="G71" t="inlineStr">
        <is>
          <t>UN</t>
        </is>
      </c>
      <c r="H71" t="n">
        <v>247.64</v>
      </c>
      <c r="I71">
        <f>F71*H71</f>
        <v/>
      </c>
      <c r="J71" t="n">
        <v>15</v>
      </c>
      <c r="K71">
        <f>IF(F71&lt;=J71,"CRÍTICO","NORMAL")</f>
        <v/>
      </c>
      <c r="L71" t="n">
        <v>26</v>
      </c>
      <c r="M71" t="n">
        <v>104</v>
      </c>
      <c r="N71" t="inlineStr">
        <is>
          <t>04/10/2026</t>
        </is>
      </c>
      <c r="O71" t="inlineStr">
        <is>
          <t>24/10/2026</t>
        </is>
      </c>
    </row>
    <row r="72">
      <c r="A72" t="n">
        <v>71</v>
      </c>
      <c r="B72" t="inlineStr">
        <is>
          <t>SKU-1071</t>
        </is>
      </c>
      <c r="C72" t="inlineStr">
        <is>
          <t>Estilete Profissional Retrátil Metalico 18mm</t>
        </is>
      </c>
      <c r="D72" t="inlineStr">
        <is>
          <t>Ferramentas Manuais de Depósito</t>
        </is>
      </c>
      <c r="E72" t="inlineStr">
        <is>
          <t>Rua E-08-02-A</t>
        </is>
      </c>
      <c r="F72" t="n">
        <v>39</v>
      </c>
      <c r="G72" t="inlineStr">
        <is>
          <t>UN</t>
        </is>
      </c>
      <c r="H72" t="n">
        <v>17.66</v>
      </c>
      <c r="I72">
        <f>F72*H72</f>
        <v/>
      </c>
      <c r="J72" t="n">
        <v>100</v>
      </c>
      <c r="K72">
        <f>IF(F72&lt;=J72,"CRÍTICO","NORMAL")</f>
        <v/>
      </c>
      <c r="L72" t="n">
        <v>30</v>
      </c>
      <c r="M72" t="n">
        <v>31</v>
      </c>
      <c r="N72" t="inlineStr">
        <is>
          <t>27/10/2026</t>
        </is>
      </c>
      <c r="O72" t="inlineStr">
        <is>
          <t>27/10/2026</t>
        </is>
      </c>
    </row>
    <row r="73">
      <c r="A73" t="n">
        <v>72</v>
      </c>
      <c r="B73" t="inlineStr">
        <is>
          <t>SKU-1072</t>
        </is>
      </c>
      <c r="C73" t="inlineStr">
        <is>
          <t>Lâmina de Reposição 18mm (Caixa c/ 10)</t>
        </is>
      </c>
      <c r="D73" t="inlineStr">
        <is>
          <t>Ferramentas Manuais de Depósito</t>
        </is>
      </c>
      <c r="E73" t="inlineStr">
        <is>
          <t>Rua B-15-04-A</t>
        </is>
      </c>
      <c r="F73" t="n">
        <v>178</v>
      </c>
      <c r="G73" t="inlineStr">
        <is>
          <t>CX</t>
        </is>
      </c>
      <c r="H73" t="n">
        <v>12.24</v>
      </c>
      <c r="I73">
        <f>F73*H73</f>
        <v/>
      </c>
      <c r="J73" t="n">
        <v>80</v>
      </c>
      <c r="K73">
        <f>IF(F73&lt;=J73,"CRÍTICO","NORMAL")</f>
        <v/>
      </c>
      <c r="L73" t="n">
        <v>54</v>
      </c>
      <c r="M73" t="n">
        <v>116</v>
      </c>
      <c r="N73" t="inlineStr">
        <is>
          <t>16/10/2026</t>
        </is>
      </c>
      <c r="O73" t="inlineStr">
        <is>
          <t>23/10/2026</t>
        </is>
      </c>
    </row>
    <row r="74">
      <c r="A74" t="n">
        <v>73</v>
      </c>
      <c r="B74" t="inlineStr">
        <is>
          <t>SKU-1073</t>
        </is>
      </c>
      <c r="C74" t="inlineStr">
        <is>
          <t>Tesoura Industrial Multiuso 8 Pol</t>
        </is>
      </c>
      <c r="D74" t="inlineStr">
        <is>
          <t>Ferramentas Manuais de Depósito</t>
        </is>
      </c>
      <c r="E74" t="inlineStr">
        <is>
          <t>Rua G-08-02-A</t>
        </is>
      </c>
      <c r="F74" t="n">
        <v>5</v>
      </c>
      <c r="G74" t="inlineStr">
        <is>
          <t>UN</t>
        </is>
      </c>
      <c r="H74" t="n">
        <v>24.67</v>
      </c>
      <c r="I74">
        <f>F74*H74</f>
        <v/>
      </c>
      <c r="J74" t="n">
        <v>50</v>
      </c>
      <c r="K74">
        <f>IF(F74&lt;=J74,"CRÍTICO","NORMAL")</f>
        <v/>
      </c>
      <c r="L74" t="n">
        <v>33</v>
      </c>
      <c r="M74" t="n">
        <v>166</v>
      </c>
      <c r="N74" t="inlineStr">
        <is>
          <t>02/10/2026</t>
        </is>
      </c>
      <c r="O74" t="inlineStr">
        <is>
          <t>13/10/2026</t>
        </is>
      </c>
    </row>
    <row r="75">
      <c r="A75" t="n">
        <v>74</v>
      </c>
      <c r="B75" t="inlineStr">
        <is>
          <t>SKU-1074</t>
        </is>
      </c>
      <c r="C75" t="inlineStr">
        <is>
          <t>Aplicador de Fita Adesiva Manual 50mm</t>
        </is>
      </c>
      <c r="D75" t="inlineStr">
        <is>
          <t>Ferramentas Manuais de Depósito</t>
        </is>
      </c>
      <c r="E75" t="inlineStr">
        <is>
          <t>Rua C-23-05-B</t>
        </is>
      </c>
      <c r="F75" t="n">
        <v>5</v>
      </c>
      <c r="G75" t="inlineStr">
        <is>
          <t>UN</t>
        </is>
      </c>
      <c r="H75" t="n">
        <v>45.26</v>
      </c>
      <c r="I75">
        <f>F75*H75</f>
        <v/>
      </c>
      <c r="J75" t="n">
        <v>60</v>
      </c>
      <c r="K75">
        <f>IF(F75&lt;=J75,"CRÍTICO","NORMAL")</f>
        <v/>
      </c>
      <c r="L75" t="n">
        <v>53</v>
      </c>
      <c r="M75" t="n">
        <v>167</v>
      </c>
      <c r="N75" t="inlineStr">
        <is>
          <t>03/10/2026</t>
        </is>
      </c>
      <c r="O75" t="inlineStr">
        <is>
          <t>26/10/2026</t>
        </is>
      </c>
    </row>
    <row r="76">
      <c r="A76" t="n">
        <v>75</v>
      </c>
      <c r="B76" t="inlineStr">
        <is>
          <t>SKU-1075</t>
        </is>
      </c>
      <c r="C76" t="inlineStr">
        <is>
          <t>Trena Metálica 8 metros c/ Trava</t>
        </is>
      </c>
      <c r="D76" t="inlineStr">
        <is>
          <t>Ferramentas Manuais de Depósito</t>
        </is>
      </c>
      <c r="E76" t="inlineStr">
        <is>
          <t>Rua H-05-04-B</t>
        </is>
      </c>
      <c r="F76" t="n">
        <v>149</v>
      </c>
      <c r="G76" t="inlineStr">
        <is>
          <t>UN</t>
        </is>
      </c>
      <c r="H76" t="n">
        <v>28.32</v>
      </c>
      <c r="I76">
        <f>F76*H76</f>
        <v/>
      </c>
      <c r="J76" t="n">
        <v>40</v>
      </c>
      <c r="K76">
        <f>IF(F76&lt;=J76,"CRÍTICO","NORMAL")</f>
        <v/>
      </c>
      <c r="L76" t="n">
        <v>161</v>
      </c>
      <c r="M76" t="n">
        <v>84</v>
      </c>
      <c r="N76" t="inlineStr">
        <is>
          <t>16/10/2026</t>
        </is>
      </c>
      <c r="O76" t="inlineStr">
        <is>
          <t>25/10/2026</t>
        </is>
      </c>
    </row>
    <row r="77">
      <c r="A77" t="n">
        <v>76</v>
      </c>
      <c r="B77" t="inlineStr">
        <is>
          <t>SKU-1076</t>
        </is>
      </c>
      <c r="C77" t="inlineStr">
        <is>
          <t>Martelo de Borracha 500g</t>
        </is>
      </c>
      <c r="D77" t="inlineStr">
        <is>
          <t>Ferramentas Manuais de Depósito</t>
        </is>
      </c>
      <c r="E77" t="inlineStr">
        <is>
          <t>Rua G-18-04-A</t>
        </is>
      </c>
      <c r="F77" t="n">
        <v>165</v>
      </c>
      <c r="G77" t="inlineStr">
        <is>
          <t>UN</t>
        </is>
      </c>
      <c r="H77" t="n">
        <v>33.16</v>
      </c>
      <c r="I77">
        <f>F77*H77</f>
        <v/>
      </c>
      <c r="J77" t="n">
        <v>25</v>
      </c>
      <c r="K77">
        <f>IF(F77&lt;=J77,"CRÍTICO","NORMAL")</f>
        <v/>
      </c>
      <c r="L77" t="n">
        <v>141</v>
      </c>
      <c r="M77" t="n">
        <v>51</v>
      </c>
      <c r="N77" t="inlineStr">
        <is>
          <t>04/10/2026</t>
        </is>
      </c>
      <c r="O77" t="inlineStr">
        <is>
          <t>05/10/2026</t>
        </is>
      </c>
    </row>
    <row r="78">
      <c r="A78" t="n">
        <v>77</v>
      </c>
      <c r="B78" t="inlineStr">
        <is>
          <t>SKU-1077</t>
        </is>
      </c>
      <c r="C78" t="inlineStr">
        <is>
          <t>Chave de Fenda / Philips Jogo 6 peças</t>
        </is>
      </c>
      <c r="D78" t="inlineStr">
        <is>
          <t>Ferramentas Manuais de Depósito</t>
        </is>
      </c>
      <c r="E78" t="inlineStr">
        <is>
          <t>Rua E-25-02-B</t>
        </is>
      </c>
      <c r="F78" t="n">
        <v>155</v>
      </c>
      <c r="G78" t="inlineStr">
        <is>
          <t>JG</t>
        </is>
      </c>
      <c r="H78" t="n">
        <v>67.90000000000001</v>
      </c>
      <c r="I78">
        <f>F78*H78</f>
        <v/>
      </c>
      <c r="J78" t="n">
        <v>20</v>
      </c>
      <c r="K78">
        <f>IF(F78&lt;=J78,"CRÍTICO","NORMAL")</f>
        <v/>
      </c>
      <c r="L78" t="n">
        <v>132</v>
      </c>
      <c r="M78" t="n">
        <v>27</v>
      </c>
      <c r="N78" t="inlineStr">
        <is>
          <t>15/10/2026</t>
        </is>
      </c>
      <c r="O78" t="inlineStr">
        <is>
          <t>25/10/2026</t>
        </is>
      </c>
    </row>
    <row r="79">
      <c r="A79" t="n">
        <v>78</v>
      </c>
      <c r="B79" t="inlineStr">
        <is>
          <t>SKU-1078</t>
        </is>
      </c>
      <c r="C79" t="inlineStr">
        <is>
          <t>Alicate Universal 8 Polegadas Isoliado</t>
        </is>
      </c>
      <c r="D79" t="inlineStr">
        <is>
          <t>Ferramentas Manuais de Depósito</t>
        </is>
      </c>
      <c r="E79" t="inlineStr">
        <is>
          <t>Rua E-15-01-B</t>
        </is>
      </c>
      <c r="F79" t="n">
        <v>37</v>
      </c>
      <c r="G79" t="inlineStr">
        <is>
          <t>UN</t>
        </is>
      </c>
      <c r="H79" t="n">
        <v>41.04</v>
      </c>
      <c r="I79">
        <f>F79*H79</f>
        <v/>
      </c>
      <c r="J79" t="n">
        <v>30</v>
      </c>
      <c r="K79">
        <f>IF(F79&lt;=J79,"CRÍTICO","NORMAL")</f>
        <v/>
      </c>
      <c r="L79" t="n">
        <v>127</v>
      </c>
      <c r="M79" t="n">
        <v>111</v>
      </c>
      <c r="N79" t="inlineStr">
        <is>
          <t>18/10/2026</t>
        </is>
      </c>
      <c r="O79" t="inlineStr">
        <is>
          <t>21/10/2026</t>
        </is>
      </c>
    </row>
    <row r="80">
      <c r="A80" t="n">
        <v>79</v>
      </c>
      <c r="B80" t="inlineStr">
        <is>
          <t>SKU-1079</t>
        </is>
      </c>
      <c r="C80" t="inlineStr">
        <is>
          <t>Grampeador Industrial para Caixas</t>
        </is>
      </c>
      <c r="D80" t="inlineStr">
        <is>
          <t>Ferramentas Manuais de Depósito</t>
        </is>
      </c>
      <c r="E80" t="inlineStr">
        <is>
          <t>Rua B-05-02-A</t>
        </is>
      </c>
      <c r="F80" t="n">
        <v>80</v>
      </c>
      <c r="G80" t="inlineStr">
        <is>
          <t>UN</t>
        </is>
      </c>
      <c r="H80" t="n">
        <v>326.21</v>
      </c>
      <c r="I80">
        <f>F80*H80</f>
        <v/>
      </c>
      <c r="J80" t="n">
        <v>8</v>
      </c>
      <c r="K80">
        <f>IF(F80&lt;=J80,"CRÍTICO","NORMAL")</f>
        <v/>
      </c>
      <c r="L80" t="n">
        <v>83</v>
      </c>
      <c r="M80" t="n">
        <v>17</v>
      </c>
      <c r="N80" t="inlineStr">
        <is>
          <t>23/10/2026</t>
        </is>
      </c>
      <c r="O80" t="inlineStr">
        <is>
          <t>28/10/2026</t>
        </is>
      </c>
    </row>
    <row r="81">
      <c r="A81" t="n">
        <v>80</v>
      </c>
      <c r="B81" t="inlineStr">
        <is>
          <t>SKU-1080</t>
        </is>
      </c>
      <c r="C81" t="inlineStr">
        <is>
          <t>Grampos para Grampeador Industrial (Cx 5000)</t>
        </is>
      </c>
      <c r="D81" t="inlineStr">
        <is>
          <t>Ferramentas Manuais de Depósito</t>
        </is>
      </c>
      <c r="E81" t="inlineStr">
        <is>
          <t>Rua B-14-04-B</t>
        </is>
      </c>
      <c r="F81" t="n">
        <v>5</v>
      </c>
      <c r="G81" t="inlineStr">
        <is>
          <t>CX</t>
        </is>
      </c>
      <c r="H81" t="n">
        <v>34.88</v>
      </c>
      <c r="I81">
        <f>F81*H81</f>
        <v/>
      </c>
      <c r="J81" t="n">
        <v>25</v>
      </c>
      <c r="K81">
        <f>IF(F81&lt;=J81,"CRÍTICO","NORMAL")</f>
        <v/>
      </c>
      <c r="L81" t="n">
        <v>87</v>
      </c>
      <c r="M81" t="n">
        <v>173</v>
      </c>
      <c r="N81" t="inlineStr">
        <is>
          <t>11/10/2026</t>
        </is>
      </c>
      <c r="O81" t="inlineStr">
        <is>
          <t>20/10/2026</t>
        </is>
      </c>
    </row>
    <row r="82">
      <c r="A82" t="n">
        <v>81</v>
      </c>
      <c r="B82" t="inlineStr">
        <is>
          <t>SKU-1081</t>
        </is>
      </c>
      <c r="C82" t="inlineStr">
        <is>
          <t>Coletor de Dados Zebra MC9300 Android</t>
        </is>
      </c>
      <c r="D82" t="inlineStr">
        <is>
          <t>Suprimentos de TI e Coleta</t>
        </is>
      </c>
      <c r="E82" t="inlineStr">
        <is>
          <t>Rua D-14-04-A</t>
        </is>
      </c>
      <c r="F82" t="n">
        <v>83</v>
      </c>
      <c r="G82" t="inlineStr">
        <is>
          <t>UN</t>
        </is>
      </c>
      <c r="H82" t="n">
        <v>8398.32</v>
      </c>
      <c r="I82">
        <f>F82*H82</f>
        <v/>
      </c>
      <c r="J82" t="n">
        <v>5</v>
      </c>
      <c r="K82">
        <f>IF(F82&lt;=J82,"CRÍTICO","NORMAL")</f>
        <v/>
      </c>
      <c r="L82" t="n">
        <v>198</v>
      </c>
      <c r="M82" t="n">
        <v>127</v>
      </c>
      <c r="N82" t="inlineStr">
        <is>
          <t>13/10/2026</t>
        </is>
      </c>
      <c r="O82" t="inlineStr">
        <is>
          <t>26/10/2026</t>
        </is>
      </c>
    </row>
    <row r="83">
      <c r="A83" t="n">
        <v>82</v>
      </c>
      <c r="B83" t="inlineStr">
        <is>
          <t>SKU-1082</t>
        </is>
      </c>
      <c r="C83" t="inlineStr">
        <is>
          <t>Bateria de Reposição Coletor Zebra MC9300</t>
        </is>
      </c>
      <c r="D83" t="inlineStr">
        <is>
          <t>Suprimentos de TI e Coleta</t>
        </is>
      </c>
      <c r="E83" t="inlineStr">
        <is>
          <t>Rua F-10-04-B</t>
        </is>
      </c>
      <c r="F83" t="n">
        <v>5</v>
      </c>
      <c r="G83" t="inlineStr">
        <is>
          <t>UN</t>
        </is>
      </c>
      <c r="H83" t="n">
        <v>461.14</v>
      </c>
      <c r="I83">
        <f>F83*H83</f>
        <v/>
      </c>
      <c r="J83" t="n">
        <v>12</v>
      </c>
      <c r="K83">
        <f>IF(F83&lt;=J83,"CRÍTICO","NORMAL")</f>
        <v/>
      </c>
      <c r="L83" t="n">
        <v>122</v>
      </c>
      <c r="M83" t="n">
        <v>161</v>
      </c>
      <c r="N83" t="inlineStr">
        <is>
          <t>09/10/2026</t>
        </is>
      </c>
      <c r="O83" t="inlineStr">
        <is>
          <t>25/10/2026</t>
        </is>
      </c>
    </row>
    <row r="84">
      <c r="A84" t="n">
        <v>83</v>
      </c>
      <c r="B84" t="inlineStr">
        <is>
          <t>SKU-1083</t>
        </is>
      </c>
      <c r="C84" t="inlineStr">
        <is>
          <t>Leitor de Código de Barras Sem Fio Bluetooth</t>
        </is>
      </c>
      <c r="D84" t="inlineStr">
        <is>
          <t>Suprimentos de TI e Coleta</t>
        </is>
      </c>
      <c r="E84" t="inlineStr">
        <is>
          <t>Rua D-16-02-B</t>
        </is>
      </c>
      <c r="F84" t="n">
        <v>5</v>
      </c>
      <c r="G84" t="inlineStr">
        <is>
          <t>UN</t>
        </is>
      </c>
      <c r="H84" t="n">
        <v>379.45</v>
      </c>
      <c r="I84">
        <f>F84*H84</f>
        <v/>
      </c>
      <c r="J84" t="n">
        <v>15</v>
      </c>
      <c r="K84">
        <f>IF(F84&lt;=J84,"CRÍTICO","NORMAL")</f>
        <v/>
      </c>
      <c r="L84" t="n">
        <v>95</v>
      </c>
      <c r="M84" t="n">
        <v>178</v>
      </c>
      <c r="N84" t="inlineStr">
        <is>
          <t>22/10/2026</t>
        </is>
      </c>
      <c r="O84" t="inlineStr">
        <is>
          <t>27/10/2026</t>
        </is>
      </c>
    </row>
    <row r="85">
      <c r="A85" t="n">
        <v>84</v>
      </c>
      <c r="B85" t="inlineStr">
        <is>
          <t>SKU-1084</t>
        </is>
      </c>
      <c r="C85" t="inlineStr">
        <is>
          <t>Cabo de Dados USB Coletor de Dados</t>
        </is>
      </c>
      <c r="D85" t="inlineStr">
        <is>
          <t>Suprimentos de TI e Coleta</t>
        </is>
      </c>
      <c r="E85" t="inlineStr">
        <is>
          <t>Rua F-22-04-A</t>
        </is>
      </c>
      <c r="F85" t="n">
        <v>228</v>
      </c>
      <c r="G85" t="inlineStr">
        <is>
          <t>UN</t>
        </is>
      </c>
      <c r="H85" t="n">
        <v>46.89</v>
      </c>
      <c r="I85">
        <f>F85*H85</f>
        <v/>
      </c>
      <c r="J85" t="n">
        <v>25</v>
      </c>
      <c r="K85">
        <f>IF(F85&lt;=J85,"CRÍTICO","NORMAL")</f>
        <v/>
      </c>
      <c r="L85" t="n">
        <v>194</v>
      </c>
      <c r="M85" t="n">
        <v>11</v>
      </c>
      <c r="N85" t="inlineStr">
        <is>
          <t>17/10/2026</t>
        </is>
      </c>
      <c r="O85" t="inlineStr">
        <is>
          <t>25/10/2026</t>
        </is>
      </c>
    </row>
    <row r="86">
      <c r="A86" t="n">
        <v>85</v>
      </c>
      <c r="B86" t="inlineStr">
        <is>
          <t>SKU-1085</t>
        </is>
      </c>
      <c r="C86" t="inlineStr">
        <is>
          <t>Base Carregadora Cradle para Coletor</t>
        </is>
      </c>
      <c r="D86" t="inlineStr">
        <is>
          <t>Suprimentos de TI e Coleta</t>
        </is>
      </c>
      <c r="E86" t="inlineStr">
        <is>
          <t>Rua A-13-05-A</t>
        </is>
      </c>
      <c r="F86" t="n">
        <v>5</v>
      </c>
      <c r="G86" t="inlineStr">
        <is>
          <t>UN</t>
        </is>
      </c>
      <c r="H86" t="n">
        <v>902.7</v>
      </c>
      <c r="I86">
        <f>F86*H86</f>
        <v/>
      </c>
      <c r="J86" t="n">
        <v>6</v>
      </c>
      <c r="K86">
        <f>IF(F86&lt;=J86,"CRÍTICO","NORMAL")</f>
        <v/>
      </c>
      <c r="L86" t="n">
        <v>105</v>
      </c>
      <c r="M86" t="n">
        <v>163</v>
      </c>
      <c r="N86" t="inlineStr">
        <is>
          <t>07/10/2026</t>
        </is>
      </c>
      <c r="O86" t="inlineStr">
        <is>
          <t>14/10/2026</t>
        </is>
      </c>
    </row>
    <row r="87">
      <c r="A87" t="n">
        <v>86</v>
      </c>
      <c r="B87" t="inlineStr">
        <is>
          <t>SKU-1086</t>
        </is>
      </c>
      <c r="C87" t="inlineStr">
        <is>
          <t>Capa Protetora de Silicone p/ Coletor</t>
        </is>
      </c>
      <c r="D87" t="inlineStr">
        <is>
          <t>Suprimentos de TI e Coleta</t>
        </is>
      </c>
      <c r="E87" t="inlineStr">
        <is>
          <t>Rua H-06-01-B</t>
        </is>
      </c>
      <c r="F87" t="n">
        <v>5</v>
      </c>
      <c r="G87" t="inlineStr">
        <is>
          <t>UN</t>
        </is>
      </c>
      <c r="H87" t="n">
        <v>63.88</v>
      </c>
      <c r="I87">
        <f>F87*H87</f>
        <v/>
      </c>
      <c r="J87" t="n">
        <v>20</v>
      </c>
      <c r="K87">
        <f>IF(F87&lt;=J87,"CRÍTICO","NORMAL")</f>
        <v/>
      </c>
      <c r="L87" t="n">
        <v>81</v>
      </c>
      <c r="M87" t="n">
        <v>125</v>
      </c>
      <c r="N87" t="inlineStr">
        <is>
          <t>25/10/2026</t>
        </is>
      </c>
      <c r="O87" t="inlineStr">
        <is>
          <t>26/10/2026</t>
        </is>
      </c>
    </row>
    <row r="88">
      <c r="A88" t="n">
        <v>87</v>
      </c>
      <c r="B88" t="inlineStr">
        <is>
          <t>SKU-1087</t>
        </is>
      </c>
      <c r="C88" t="inlineStr">
        <is>
          <t>Impressora Térmica de Etiquetas Zebra ZT230</t>
        </is>
      </c>
      <c r="D88" t="inlineStr">
        <is>
          <t>Suprimentos de TI e Coleta</t>
        </is>
      </c>
      <c r="E88" t="inlineStr">
        <is>
          <t>Rua F-11-04-B</t>
        </is>
      </c>
      <c r="F88" t="n">
        <v>5</v>
      </c>
      <c r="G88" t="inlineStr">
        <is>
          <t>UN</t>
        </is>
      </c>
      <c r="H88" t="n">
        <v>4095.95</v>
      </c>
      <c r="I88">
        <f>F88*H88</f>
        <v/>
      </c>
      <c r="J88" t="n">
        <v>4</v>
      </c>
      <c r="K88">
        <f>IF(F88&lt;=J88,"CRÍTICO","NORMAL")</f>
        <v/>
      </c>
      <c r="L88" t="n">
        <v>119</v>
      </c>
      <c r="M88" t="n">
        <v>159</v>
      </c>
      <c r="N88" t="inlineStr">
        <is>
          <t>27/10/2026</t>
        </is>
      </c>
      <c r="O88" t="inlineStr">
        <is>
          <t>27/10/2026</t>
        </is>
      </c>
    </row>
    <row r="89">
      <c r="A89" t="n">
        <v>88</v>
      </c>
      <c r="B89" t="inlineStr">
        <is>
          <t>SKU-1088</t>
        </is>
      </c>
      <c r="C89" t="inlineStr">
        <is>
          <t>Cabeça de Impressão Zebra ZT230 203dpi</t>
        </is>
      </c>
      <c r="D89" t="inlineStr">
        <is>
          <t>Suprimentos de TI e Coleta</t>
        </is>
      </c>
      <c r="E89" t="inlineStr">
        <is>
          <t>Rua H-01-05-A</t>
        </is>
      </c>
      <c r="F89" t="n">
        <v>34</v>
      </c>
      <c r="G89" t="inlineStr">
        <is>
          <t>UN</t>
        </is>
      </c>
      <c r="H89" t="n">
        <v>1069.66</v>
      </c>
      <c r="I89">
        <f>F89*H89</f>
        <v/>
      </c>
      <c r="J89" t="n">
        <v>6</v>
      </c>
      <c r="K89">
        <f>IF(F89&lt;=J89,"CRÍTICO","NORMAL")</f>
        <v/>
      </c>
      <c r="L89" t="n">
        <v>161</v>
      </c>
      <c r="M89" t="n">
        <v>134</v>
      </c>
      <c r="N89" t="inlineStr">
        <is>
          <t>24/10/2026</t>
        </is>
      </c>
      <c r="O89" t="inlineStr">
        <is>
          <t>25/10/2026</t>
        </is>
      </c>
    </row>
    <row r="90">
      <c r="A90" t="n">
        <v>89</v>
      </c>
      <c r="B90" t="inlineStr">
        <is>
          <t>SKU-1089</t>
        </is>
      </c>
      <c r="C90" t="inlineStr">
        <is>
          <t>Access Point Wi-Fi 6 Industrial Ubiquiti</t>
        </is>
      </c>
      <c r="D90" t="inlineStr">
        <is>
          <t>Suprimentos de TI e Coleta</t>
        </is>
      </c>
      <c r="E90" t="inlineStr">
        <is>
          <t>Rua A-25-01-A</t>
        </is>
      </c>
      <c r="F90" t="n">
        <v>104</v>
      </c>
      <c r="G90" t="inlineStr">
        <is>
          <t>UN</t>
        </is>
      </c>
      <c r="H90" t="n">
        <v>1499.19</v>
      </c>
      <c r="I90">
        <f>F90*H90</f>
        <v/>
      </c>
      <c r="J90" t="n">
        <v>8</v>
      </c>
      <c r="K90">
        <f>IF(F90&lt;=J90,"CRÍTICO","NORMAL")</f>
        <v/>
      </c>
      <c r="L90" t="n">
        <v>147</v>
      </c>
      <c r="M90" t="n">
        <v>48</v>
      </c>
      <c r="N90" t="inlineStr">
        <is>
          <t>10/10/2026</t>
        </is>
      </c>
      <c r="O90" t="inlineStr">
        <is>
          <t>21/10/2026</t>
        </is>
      </c>
    </row>
    <row r="91">
      <c r="A91" t="n">
        <v>90</v>
      </c>
      <c r="B91" t="inlineStr">
        <is>
          <t>SKU-1090</t>
        </is>
      </c>
      <c r="C91" t="inlineStr">
        <is>
          <t>Monitor Touchscreen 19 Pol para Estação</t>
        </is>
      </c>
      <c r="D91" t="inlineStr">
        <is>
          <t>Suprimentos de TI e Coleta</t>
        </is>
      </c>
      <c r="E91" t="inlineStr">
        <is>
          <t>Rua C-08-02-B</t>
        </is>
      </c>
      <c r="F91" t="n">
        <v>72</v>
      </c>
      <c r="G91" t="inlineStr">
        <is>
          <t>UN</t>
        </is>
      </c>
      <c r="H91" t="n">
        <v>942.21</v>
      </c>
      <c r="I91">
        <f>F91*H91</f>
        <v/>
      </c>
      <c r="J91" t="n">
        <v>10</v>
      </c>
      <c r="K91">
        <f>IF(F91&lt;=J91,"CRÍTICO","NORMAL")</f>
        <v/>
      </c>
      <c r="L91" t="n">
        <v>163</v>
      </c>
      <c r="M91" t="n">
        <v>121</v>
      </c>
      <c r="N91" t="inlineStr">
        <is>
          <t>26/10/2026</t>
        </is>
      </c>
      <c r="O91" t="inlineStr">
        <is>
          <t>26/10/2026</t>
        </is>
      </c>
    </row>
    <row r="92">
      <c r="A92" t="n">
        <v>91</v>
      </c>
      <c r="B92" t="inlineStr">
        <is>
          <t>SKU-1091</t>
        </is>
      </c>
      <c r="C92" t="inlineStr">
        <is>
          <t>Detergente Multiuso Industrial 5 Litros</t>
        </is>
      </c>
      <c r="D92" t="inlineStr">
        <is>
          <t>Limpeza e Conservação</t>
        </is>
      </c>
      <c r="E92" t="inlineStr">
        <is>
          <t>Rua H-23-03-B</t>
        </is>
      </c>
      <c r="F92" t="n">
        <v>196</v>
      </c>
      <c r="G92" t="inlineStr">
        <is>
          <t>GL</t>
        </is>
      </c>
      <c r="H92" t="n">
        <v>28.3</v>
      </c>
      <c r="I92">
        <f>F92*H92</f>
        <v/>
      </c>
      <c r="J92" t="n">
        <v>40</v>
      </c>
      <c r="K92">
        <f>IF(F92&lt;=J92,"CRÍTICO","NORMAL")</f>
        <v/>
      </c>
      <c r="L92" t="n">
        <v>179</v>
      </c>
      <c r="M92" t="n">
        <v>11</v>
      </c>
      <c r="N92" t="inlineStr">
        <is>
          <t>10/10/2026</t>
        </is>
      </c>
      <c r="O92" t="inlineStr">
        <is>
          <t>11/10/2026</t>
        </is>
      </c>
    </row>
    <row r="93">
      <c r="A93" t="n">
        <v>92</v>
      </c>
      <c r="B93" t="inlineStr">
        <is>
          <t>SKU-1092</t>
        </is>
      </c>
      <c r="C93" t="inlineStr">
        <is>
          <t>Desengraxante Biodegradável Concentrado 20L</t>
        </is>
      </c>
      <c r="D93" t="inlineStr">
        <is>
          <t>Limpeza e Conservação</t>
        </is>
      </c>
      <c r="E93" t="inlineStr">
        <is>
          <t>Rua C-10-01-A</t>
        </is>
      </c>
      <c r="F93" t="n">
        <v>107</v>
      </c>
      <c r="G93" t="inlineStr">
        <is>
          <t>GL</t>
        </is>
      </c>
      <c r="H93" t="n">
        <v>186.4</v>
      </c>
      <c r="I93">
        <f>F93*H93</f>
        <v/>
      </c>
      <c r="J93" t="n">
        <v>15</v>
      </c>
      <c r="K93">
        <f>IF(F93&lt;=J93,"CRÍTICO","NORMAL")</f>
        <v/>
      </c>
      <c r="L93" t="n">
        <v>137</v>
      </c>
      <c r="M93" t="n">
        <v>48</v>
      </c>
      <c r="N93" t="inlineStr">
        <is>
          <t>07/10/2026</t>
        </is>
      </c>
      <c r="O93" t="inlineStr">
        <is>
          <t>18/10/2026</t>
        </is>
      </c>
    </row>
    <row r="94">
      <c r="A94" t="n">
        <v>93</v>
      </c>
      <c r="B94" t="inlineStr">
        <is>
          <t>SKU-1093</t>
        </is>
      </c>
      <c r="C94" t="inlineStr">
        <is>
          <t>Vassoura Industrial de Piaçava 60cm</t>
        </is>
      </c>
      <c r="D94" t="inlineStr">
        <is>
          <t>Limpeza e Conservação</t>
        </is>
      </c>
      <c r="E94" t="inlineStr">
        <is>
          <t>Rua G-23-02-A</t>
        </is>
      </c>
      <c r="F94" t="n">
        <v>19</v>
      </c>
      <c r="G94" t="inlineStr">
        <is>
          <t>UN</t>
        </is>
      </c>
      <c r="H94" t="n">
        <v>38.72</v>
      </c>
      <c r="I94">
        <f>F94*H94</f>
        <v/>
      </c>
      <c r="J94" t="n">
        <v>30</v>
      </c>
      <c r="K94">
        <f>IF(F94&lt;=J94,"CRÍTICO","NORMAL")</f>
        <v/>
      </c>
      <c r="L94" t="n">
        <v>29</v>
      </c>
      <c r="M94" t="n">
        <v>85</v>
      </c>
      <c r="N94" t="inlineStr">
        <is>
          <t>20/10/2026</t>
        </is>
      </c>
      <c r="O94" t="inlineStr">
        <is>
          <t>20/10/2026</t>
        </is>
      </c>
    </row>
    <row r="95">
      <c r="A95" t="n">
        <v>94</v>
      </c>
      <c r="B95" t="inlineStr">
        <is>
          <t>SKU-1094</t>
        </is>
      </c>
      <c r="C95" t="inlineStr">
        <is>
          <t>Mop Giratório c/ Balde 12 Litros</t>
        </is>
      </c>
      <c r="D95" t="inlineStr">
        <is>
          <t>Limpeza e Conservação</t>
        </is>
      </c>
      <c r="E95" t="inlineStr">
        <is>
          <t>Rua D-04-03-A</t>
        </is>
      </c>
      <c r="F95" t="n">
        <v>5</v>
      </c>
      <c r="G95" t="inlineStr">
        <is>
          <t>UN</t>
        </is>
      </c>
      <c r="H95" t="n">
        <v>91.52</v>
      </c>
      <c r="I95">
        <f>F95*H95</f>
        <v/>
      </c>
      <c r="J95" t="n">
        <v>12</v>
      </c>
      <c r="K95">
        <f>IF(F95&lt;=J95,"CRÍTICO","NORMAL")</f>
        <v/>
      </c>
      <c r="L95" t="n">
        <v>117</v>
      </c>
      <c r="M95" t="n">
        <v>166</v>
      </c>
      <c r="N95" t="inlineStr">
        <is>
          <t>12/10/2026</t>
        </is>
      </c>
      <c r="O95" t="inlineStr">
        <is>
          <t>13/10/2026</t>
        </is>
      </c>
    </row>
    <row r="96">
      <c r="A96" t="n">
        <v>95</v>
      </c>
      <c r="B96" t="inlineStr">
        <is>
          <t>SKU-1095</t>
        </is>
      </c>
      <c r="C96" t="inlineStr">
        <is>
          <t>Pano de Chão Alvejado 50x70cm (Pct 10)</t>
        </is>
      </c>
      <c r="D96" t="inlineStr">
        <is>
          <t>Limpeza e Conservação</t>
        </is>
      </c>
      <c r="E96" t="inlineStr">
        <is>
          <t>Rua G-22-03-A</t>
        </is>
      </c>
      <c r="F96" t="n">
        <v>132</v>
      </c>
      <c r="G96" t="inlineStr">
        <is>
          <t>PCT</t>
        </is>
      </c>
      <c r="H96" t="n">
        <v>32.47</v>
      </c>
      <c r="I96">
        <f>F96*H96</f>
        <v/>
      </c>
      <c r="J96" t="n">
        <v>50</v>
      </c>
      <c r="K96">
        <f>IF(F96&lt;=J96,"CRÍTICO","NORMAL")</f>
        <v/>
      </c>
      <c r="L96" t="n">
        <v>163</v>
      </c>
      <c r="M96" t="n">
        <v>156</v>
      </c>
      <c r="N96" t="inlineStr">
        <is>
          <t>26/10/2026</t>
        </is>
      </c>
      <c r="O96" t="inlineStr">
        <is>
          <t>26/10/2026</t>
        </is>
      </c>
    </row>
    <row r="97">
      <c r="A97" t="n">
        <v>96</v>
      </c>
      <c r="B97" t="inlineStr">
        <is>
          <t>SKU-1096</t>
        </is>
      </c>
      <c r="C97" t="inlineStr">
        <is>
          <t>Saco de Lixo Reforçado 100 Litros (Pct 100)</t>
        </is>
      </c>
      <c r="D97" t="inlineStr">
        <is>
          <t>Limpeza e Conservação</t>
        </is>
      </c>
      <c r="E97" t="inlineStr">
        <is>
          <t>Rua G-16-01-B</t>
        </is>
      </c>
      <c r="F97" t="n">
        <v>217</v>
      </c>
      <c r="G97" t="inlineStr">
        <is>
          <t>PCT</t>
        </is>
      </c>
      <c r="H97" t="n">
        <v>65.88</v>
      </c>
      <c r="I97">
        <f>F97*H97</f>
        <v/>
      </c>
      <c r="J97" t="n">
        <v>60</v>
      </c>
      <c r="K97">
        <f>IF(F97&lt;=J97,"CRÍTICO","NORMAL")</f>
        <v/>
      </c>
      <c r="L97" t="n">
        <v>178</v>
      </c>
      <c r="M97" t="n">
        <v>33</v>
      </c>
      <c r="N97" t="inlineStr">
        <is>
          <t>04/10/2026</t>
        </is>
      </c>
      <c r="O97" t="inlineStr">
        <is>
          <t>06/10/2026</t>
        </is>
      </c>
    </row>
    <row r="98">
      <c r="A98" t="n">
        <v>97</v>
      </c>
      <c r="B98" t="inlineStr">
        <is>
          <t>SKU-1097</t>
        </is>
      </c>
      <c r="C98" t="inlineStr">
        <is>
          <t>Álcool Isopropílico 99,8% 1 Litro</t>
        </is>
      </c>
      <c r="D98" t="inlineStr">
        <is>
          <t>Limpeza e Conservação</t>
        </is>
      </c>
      <c r="E98" t="inlineStr">
        <is>
          <t>Rua C-14-02-B</t>
        </is>
      </c>
      <c r="F98" t="n">
        <v>172</v>
      </c>
      <c r="G98" t="inlineStr">
        <is>
          <t>UN</t>
        </is>
      </c>
      <c r="H98" t="n">
        <v>22.68</v>
      </c>
      <c r="I98">
        <f>F98*H98</f>
        <v/>
      </c>
      <c r="J98" t="n">
        <v>40</v>
      </c>
      <c r="K98">
        <f>IF(F98&lt;=J98,"CRÍTICO","NORMAL")</f>
        <v/>
      </c>
      <c r="L98" t="n">
        <v>108</v>
      </c>
      <c r="M98" t="n">
        <v>36</v>
      </c>
      <c r="N98" t="inlineStr">
        <is>
          <t>01/10/2026</t>
        </is>
      </c>
      <c r="O98" t="inlineStr">
        <is>
          <t>20/10/2026</t>
        </is>
      </c>
    </row>
    <row r="99">
      <c r="A99" t="n">
        <v>98</v>
      </c>
      <c r="B99" t="inlineStr">
        <is>
          <t>SKU-1098</t>
        </is>
      </c>
      <c r="C99" t="inlineStr">
        <is>
          <t>Limpa Contatos Elétricos Aerosol 300ml</t>
        </is>
      </c>
      <c r="D99" t="inlineStr">
        <is>
          <t>Limpeza e Conservação</t>
        </is>
      </c>
      <c r="E99" t="inlineStr">
        <is>
          <t>Rua H-15-04-B</t>
        </is>
      </c>
      <c r="F99" t="n">
        <v>105</v>
      </c>
      <c r="G99" t="inlineStr">
        <is>
          <t>UN</t>
        </is>
      </c>
      <c r="H99" t="n">
        <v>19.15</v>
      </c>
      <c r="I99">
        <f>F99*H99</f>
        <v/>
      </c>
      <c r="J99" t="n">
        <v>80</v>
      </c>
      <c r="K99">
        <f>IF(F99&lt;=J99,"CRÍTICO","NORMAL")</f>
        <v/>
      </c>
      <c r="L99" t="n">
        <v>169</v>
      </c>
      <c r="M99" t="n">
        <v>160</v>
      </c>
      <c r="N99" t="inlineStr">
        <is>
          <t>19/10/2026</t>
        </is>
      </c>
      <c r="O99" t="inlineStr">
        <is>
          <t>19/10/2026</t>
        </is>
      </c>
    </row>
    <row r="100">
      <c r="A100" t="n">
        <v>99</v>
      </c>
      <c r="B100" t="inlineStr">
        <is>
          <t>SKU-1099</t>
        </is>
      </c>
      <c r="C100" t="inlineStr">
        <is>
          <t>Papel Toalha Interfolha 2 Dobras (Cx 2000)</t>
        </is>
      </c>
      <c r="D100" t="inlineStr">
        <is>
          <t>Limpeza e Conservação</t>
        </is>
      </c>
      <c r="E100" t="inlineStr">
        <is>
          <t>Rua E-15-02-B</t>
        </is>
      </c>
      <c r="F100" t="n">
        <v>36</v>
      </c>
      <c r="G100" t="inlineStr">
        <is>
          <t>CX</t>
        </is>
      </c>
      <c r="H100" t="n">
        <v>48.53</v>
      </c>
      <c r="I100">
        <f>F100*H100</f>
        <v/>
      </c>
      <c r="J100" t="n">
        <v>50</v>
      </c>
      <c r="K100">
        <f>IF(F100&lt;=J100,"CRÍTICO","NORMAL")</f>
        <v/>
      </c>
      <c r="L100" t="n">
        <v>60</v>
      </c>
      <c r="M100" t="n">
        <v>149</v>
      </c>
      <c r="N100" t="inlineStr">
        <is>
          <t>19/10/2026</t>
        </is>
      </c>
      <c r="O100" t="inlineStr">
        <is>
          <t>25/10/2026</t>
        </is>
      </c>
    </row>
    <row r="101">
      <c r="A101" t="n">
        <v>100</v>
      </c>
      <c r="B101" t="inlineStr">
        <is>
          <t>SKU-1100</t>
        </is>
      </c>
      <c r="C101" t="inlineStr">
        <is>
          <t>Sabão Líquido Antisséptico para Mãos 5L</t>
        </is>
      </c>
      <c r="D101" t="inlineStr">
        <is>
          <t>Limpeza e Conservação</t>
        </is>
      </c>
      <c r="E101" t="inlineStr">
        <is>
          <t>Rua F-01-04-B</t>
        </is>
      </c>
      <c r="F101" t="n">
        <v>36</v>
      </c>
      <c r="G101" t="inlineStr">
        <is>
          <t>GL</t>
        </is>
      </c>
      <c r="H101" t="n">
        <v>34.96</v>
      </c>
      <c r="I101">
        <f>F101*H101</f>
        <v/>
      </c>
      <c r="J101" t="n">
        <v>30</v>
      </c>
      <c r="K101">
        <f>IF(F101&lt;=J101,"CRÍTICO","NORMAL")</f>
        <v/>
      </c>
      <c r="L101" t="n">
        <v>70</v>
      </c>
      <c r="M101" t="n">
        <v>55</v>
      </c>
      <c r="N101" t="inlineStr">
        <is>
          <t>08/10/2026</t>
        </is>
      </c>
      <c r="O101" t="inlineStr">
        <is>
          <t>12/10/2026</t>
        </is>
      </c>
    </row>
    <row r="102">
      <c r="A102" t="n">
        <v>101</v>
      </c>
      <c r="B102" t="inlineStr">
        <is>
          <t>SKU-1101</t>
        </is>
      </c>
      <c r="C102" t="inlineStr">
        <is>
          <t>Parafuso Sextavado Aço Inox M8x30mm</t>
        </is>
      </c>
      <c r="D102" t="inlineStr">
        <is>
          <t>Fixadores e Hardware</t>
        </is>
      </c>
      <c r="E102" t="inlineStr">
        <is>
          <t>Rua E-11-03-B</t>
        </is>
      </c>
      <c r="F102" t="n">
        <v>125</v>
      </c>
      <c r="G102" t="inlineStr">
        <is>
          <t>MIL</t>
        </is>
      </c>
      <c r="H102" t="n">
        <v>209.22</v>
      </c>
      <c r="I102">
        <f>F102*H102</f>
        <v/>
      </c>
      <c r="J102" t="n">
        <v>10</v>
      </c>
      <c r="K102">
        <f>IF(F102&lt;=J102,"CRÍTICO","NORMAL")</f>
        <v/>
      </c>
      <c r="L102" t="n">
        <v>144</v>
      </c>
      <c r="M102" t="n">
        <v>44</v>
      </c>
      <c r="N102" t="inlineStr">
        <is>
          <t>10/10/2026</t>
        </is>
      </c>
      <c r="O102" t="inlineStr">
        <is>
          <t>14/10/2026</t>
        </is>
      </c>
    </row>
    <row r="103">
      <c r="A103" t="n">
        <v>102</v>
      </c>
      <c r="B103" t="inlineStr">
        <is>
          <t>SKU-1102</t>
        </is>
      </c>
      <c r="C103" t="inlineStr">
        <is>
          <t>Porca Sextavada M8 Aço Inox</t>
        </is>
      </c>
      <c r="D103" t="inlineStr">
        <is>
          <t>Fixadores e Hardware</t>
        </is>
      </c>
      <c r="E103" t="inlineStr">
        <is>
          <t>Rua B-08-04-B</t>
        </is>
      </c>
      <c r="F103" t="n">
        <v>5</v>
      </c>
      <c r="G103" t="inlineStr">
        <is>
          <t>MIL</t>
        </is>
      </c>
      <c r="H103" t="n">
        <v>97.45</v>
      </c>
      <c r="I103">
        <f>F103*H103</f>
        <v/>
      </c>
      <c r="J103" t="n">
        <v>15</v>
      </c>
      <c r="K103">
        <f>IF(F103&lt;=J103,"CRÍTICO","NORMAL")</f>
        <v/>
      </c>
      <c r="L103" t="n">
        <v>19</v>
      </c>
      <c r="M103" t="n">
        <v>169</v>
      </c>
      <c r="N103" t="inlineStr">
        <is>
          <t>07/10/2026</t>
        </is>
      </c>
      <c r="O103" t="inlineStr">
        <is>
          <t>23/10/2026</t>
        </is>
      </c>
    </row>
    <row r="104">
      <c r="A104" t="n">
        <v>103</v>
      </c>
      <c r="B104" t="inlineStr">
        <is>
          <t>SKU-1103</t>
        </is>
      </c>
      <c r="C104" t="inlineStr">
        <is>
          <t>Arruela Lisa M8 Aço Zincado</t>
        </is>
      </c>
      <c r="D104" t="inlineStr">
        <is>
          <t>Fixadores e Hardware</t>
        </is>
      </c>
      <c r="E104" t="inlineStr">
        <is>
          <t>Rua H-21-04-B</t>
        </is>
      </c>
      <c r="F104" t="n">
        <v>132</v>
      </c>
      <c r="G104" t="inlineStr">
        <is>
          <t>MIL</t>
        </is>
      </c>
      <c r="H104" t="n">
        <v>43.17</v>
      </c>
      <c r="I104">
        <f>F104*H104</f>
        <v/>
      </c>
      <c r="J104" t="n">
        <v>20</v>
      </c>
      <c r="K104">
        <f>IF(F104&lt;=J104,"CRÍTICO","NORMAL")</f>
        <v/>
      </c>
      <c r="L104" t="n">
        <v>199</v>
      </c>
      <c r="M104" t="n">
        <v>75</v>
      </c>
      <c r="N104" t="inlineStr">
        <is>
          <t>05/10/2026</t>
        </is>
      </c>
      <c r="O104" t="inlineStr">
        <is>
          <t>27/10/2026</t>
        </is>
      </c>
    </row>
    <row r="105">
      <c r="A105" t="n">
        <v>104</v>
      </c>
      <c r="B105" t="inlineStr">
        <is>
          <t>SKU-1104</t>
        </is>
      </c>
      <c r="C105" t="inlineStr">
        <is>
          <t>Parabolt Chumbador Metálico 3/8 x 3</t>
        </is>
      </c>
      <c r="D105" t="inlineStr">
        <is>
          <t>Fixadores e Hardware</t>
        </is>
      </c>
      <c r="E105" t="inlineStr">
        <is>
          <t>Rua G-23-02-B</t>
        </is>
      </c>
      <c r="F105" t="n">
        <v>821</v>
      </c>
      <c r="G105" t="inlineStr">
        <is>
          <t>UN</t>
        </is>
      </c>
      <c r="H105" t="n">
        <v>8.57</v>
      </c>
      <c r="I105">
        <f>F105*H105</f>
        <v/>
      </c>
      <c r="J105" t="n">
        <v>300</v>
      </c>
      <c r="K105">
        <f>IF(F105&lt;=J105,"CRÍTICO","NORMAL")</f>
        <v/>
      </c>
      <c r="L105" t="n">
        <v>90</v>
      </c>
      <c r="M105" t="n">
        <v>169</v>
      </c>
      <c r="N105" t="inlineStr">
        <is>
          <t>01/10/2026</t>
        </is>
      </c>
      <c r="O105" t="inlineStr">
        <is>
          <t>21/10/2026</t>
        </is>
      </c>
    </row>
    <row r="106">
      <c r="A106" t="n">
        <v>105</v>
      </c>
      <c r="B106" t="inlineStr">
        <is>
          <t>SKU-1105</t>
        </is>
      </c>
      <c r="C106" t="inlineStr">
        <is>
          <t>Abraçadeira de Nylon 200x4,8mm Preta</t>
        </is>
      </c>
      <c r="D106" t="inlineStr">
        <is>
          <t>Fixadores e Hardware</t>
        </is>
      </c>
      <c r="E106" t="inlineStr">
        <is>
          <t>Rua F-14-05-B</t>
        </is>
      </c>
      <c r="F106" t="n">
        <v>179</v>
      </c>
      <c r="G106" t="inlineStr">
        <is>
          <t>PCT</t>
        </is>
      </c>
      <c r="H106" t="n">
        <v>18.37</v>
      </c>
      <c r="I106">
        <f>F106*H106</f>
        <v/>
      </c>
      <c r="J106" t="n">
        <v>100</v>
      </c>
      <c r="K106">
        <f>IF(F106&lt;=J106,"CRÍTICO","NORMAL")</f>
        <v/>
      </c>
      <c r="L106" t="n">
        <v>160</v>
      </c>
      <c r="M106" t="n">
        <v>101</v>
      </c>
      <c r="N106" t="inlineStr">
        <is>
          <t>12/10/2026</t>
        </is>
      </c>
      <c r="O106" t="inlineStr">
        <is>
          <t>23/10/2026</t>
        </is>
      </c>
    </row>
    <row r="107">
      <c r="A107" t="n">
        <v>106</v>
      </c>
      <c r="B107" t="inlineStr">
        <is>
          <t>SKU-1106</t>
        </is>
      </c>
      <c r="C107" t="inlineStr">
        <is>
          <t>Abraçadeira de Nylon 300x7,6mm Branca</t>
        </is>
      </c>
      <c r="D107" t="inlineStr">
        <is>
          <t>Fixadores e Hardware</t>
        </is>
      </c>
      <c r="E107" t="inlineStr">
        <is>
          <t>Rua E-09-02-A</t>
        </is>
      </c>
      <c r="F107" t="n">
        <v>222</v>
      </c>
      <c r="G107" t="inlineStr">
        <is>
          <t>PCT</t>
        </is>
      </c>
      <c r="H107" t="n">
        <v>32.95</v>
      </c>
      <c r="I107">
        <f>F107*H107</f>
        <v/>
      </c>
      <c r="J107" t="n">
        <v>80</v>
      </c>
      <c r="K107">
        <f>IF(F107&lt;=J107,"CRÍTICO","NORMAL")</f>
        <v/>
      </c>
      <c r="L107" t="n">
        <v>94</v>
      </c>
      <c r="M107" t="n">
        <v>112</v>
      </c>
      <c r="N107" t="inlineStr">
        <is>
          <t>07/10/2026</t>
        </is>
      </c>
      <c r="O107" t="inlineStr">
        <is>
          <t>08/10/2026</t>
        </is>
      </c>
    </row>
    <row r="108">
      <c r="A108" t="n">
        <v>107</v>
      </c>
      <c r="B108" t="inlineStr">
        <is>
          <t>SKU-1107</t>
        </is>
      </c>
      <c r="C108" t="inlineStr">
        <is>
          <t>Rebite de Repuxo Alumínio 4x12mm</t>
        </is>
      </c>
      <c r="D108" t="inlineStr">
        <is>
          <t>Fixadores e Hardware</t>
        </is>
      </c>
      <c r="E108" t="inlineStr">
        <is>
          <t>Rua C-07-02-B</t>
        </is>
      </c>
      <c r="F108" t="n">
        <v>153</v>
      </c>
      <c r="G108" t="inlineStr">
        <is>
          <t>MIL</t>
        </is>
      </c>
      <c r="H108" t="n">
        <v>86.91</v>
      </c>
      <c r="I108">
        <f>F108*H108</f>
        <v/>
      </c>
      <c r="J108" t="n">
        <v>12</v>
      </c>
      <c r="K108">
        <f>IF(F108&lt;=J108,"CRÍTICO","NORMAL")</f>
        <v/>
      </c>
      <c r="L108" t="n">
        <v>166</v>
      </c>
      <c r="M108" t="n">
        <v>27</v>
      </c>
      <c r="N108" t="inlineStr">
        <is>
          <t>15/10/2026</t>
        </is>
      </c>
      <c r="O108" t="inlineStr">
        <is>
          <t>19/10/2026</t>
        </is>
      </c>
    </row>
    <row r="109">
      <c r="A109" t="n">
        <v>108</v>
      </c>
      <c r="B109" t="inlineStr">
        <is>
          <t>SKU-1108</t>
        </is>
      </c>
      <c r="C109" t="inlineStr">
        <is>
          <t>Parafuso Auto Brocante 4,2x19mm</t>
        </is>
      </c>
      <c r="D109" t="inlineStr">
        <is>
          <t>Fixadores e Hardware</t>
        </is>
      </c>
      <c r="E109" t="inlineStr">
        <is>
          <t>Rua E-04-02-B</t>
        </is>
      </c>
      <c r="F109" t="n">
        <v>5</v>
      </c>
      <c r="G109" t="inlineStr">
        <is>
          <t>MIL</t>
        </is>
      </c>
      <c r="H109" t="n">
        <v>138.05</v>
      </c>
      <c r="I109">
        <f>F109*H109</f>
        <v/>
      </c>
      <c r="J109" t="n">
        <v>15</v>
      </c>
      <c r="K109">
        <f>IF(F109&lt;=J109,"CRÍTICO","NORMAL")</f>
        <v/>
      </c>
      <c r="L109" t="n">
        <v>29</v>
      </c>
      <c r="M109" t="n">
        <v>139</v>
      </c>
      <c r="N109" t="inlineStr">
        <is>
          <t>06/10/2026</t>
        </is>
      </c>
      <c r="O109" t="inlineStr">
        <is>
          <t>07/10/2026</t>
        </is>
      </c>
    </row>
    <row r="110">
      <c r="A110" t="n">
        <v>109</v>
      </c>
      <c r="B110" t="inlineStr">
        <is>
          <t>SKU-1109</t>
        </is>
      </c>
      <c r="C110" t="inlineStr">
        <is>
          <t>Bucha de Fixação Nylon N8 c/ Anel</t>
        </is>
      </c>
      <c r="D110" t="inlineStr">
        <is>
          <t>Fixadores e Hardware</t>
        </is>
      </c>
      <c r="E110" t="inlineStr">
        <is>
          <t>Rua A-23-05-A</t>
        </is>
      </c>
      <c r="F110" t="n">
        <v>235</v>
      </c>
      <c r="G110" t="inlineStr">
        <is>
          <t>PCT</t>
        </is>
      </c>
      <c r="H110" t="n">
        <v>23.86</v>
      </c>
      <c r="I110">
        <f>F110*H110</f>
        <v/>
      </c>
      <c r="J110" t="n">
        <v>50</v>
      </c>
      <c r="K110">
        <f>IF(F110&lt;=J110,"CRÍTICO","NORMAL")</f>
        <v/>
      </c>
      <c r="L110" t="n">
        <v>194</v>
      </c>
      <c r="M110" t="n">
        <v>19</v>
      </c>
      <c r="N110" t="inlineStr">
        <is>
          <t>27/10/2026</t>
        </is>
      </c>
      <c r="O110" t="inlineStr">
        <is>
          <t>27/10/2026</t>
        </is>
      </c>
    </row>
    <row r="111">
      <c r="A111" t="n">
        <v>110</v>
      </c>
      <c r="B111" t="inlineStr">
        <is>
          <t>SKU-1110</t>
        </is>
      </c>
      <c r="C111" t="inlineStr">
        <is>
          <t>Mosquetão de Aço Galvanizado 8mm</t>
        </is>
      </c>
      <c r="D111" t="inlineStr">
        <is>
          <t>Fixadores e Hardware</t>
        </is>
      </c>
      <c r="E111" t="inlineStr">
        <is>
          <t>Rua E-23-02-B</t>
        </is>
      </c>
      <c r="F111" t="n">
        <v>140</v>
      </c>
      <c r="G111" t="inlineStr">
        <is>
          <t>UN</t>
        </is>
      </c>
      <c r="H111" t="n">
        <v>12.45</v>
      </c>
      <c r="I111">
        <f>F111*H111</f>
        <v/>
      </c>
      <c r="J111" t="n">
        <v>100</v>
      </c>
      <c r="K111">
        <f>IF(F111&lt;=J111,"CRÍTICO","NORMAL")</f>
        <v/>
      </c>
      <c r="L111" t="n">
        <v>110</v>
      </c>
      <c r="M111" t="n">
        <v>10</v>
      </c>
      <c r="N111" t="inlineStr">
        <is>
          <t>01/10/2026</t>
        </is>
      </c>
      <c r="O111" t="inlineStr">
        <is>
          <t>19/10/2026</t>
        </is>
      </c>
    </row>
    <row r="112">
      <c r="A112" t="n">
        <v>111</v>
      </c>
      <c r="B112" t="inlineStr">
        <is>
          <t>SKU-1111</t>
        </is>
      </c>
      <c r="C112" t="inlineStr">
        <is>
          <t>Cabo Flexível PP 3x2,5mm² (Rolo 100m)</t>
        </is>
      </c>
      <c r="D112" t="inlineStr">
        <is>
          <t>Material Elétrico Industrial</t>
        </is>
      </c>
      <c r="E112" t="inlineStr">
        <is>
          <t>Rua E-16-04-B</t>
        </is>
      </c>
      <c r="F112" t="n">
        <v>51</v>
      </c>
      <c r="G112" t="inlineStr">
        <is>
          <t>RL</t>
        </is>
      </c>
      <c r="H112" t="n">
        <v>368.01</v>
      </c>
      <c r="I112">
        <f>F112*H112</f>
        <v/>
      </c>
      <c r="J112" t="n">
        <v>10</v>
      </c>
      <c r="K112">
        <f>IF(F112&lt;=J112,"CRÍTICO","NORMAL")</f>
        <v/>
      </c>
      <c r="L112" t="n">
        <v>139</v>
      </c>
      <c r="M112" t="n">
        <v>100</v>
      </c>
      <c r="N112" t="inlineStr">
        <is>
          <t>03/10/2026</t>
        </is>
      </c>
      <c r="O112" t="inlineStr">
        <is>
          <t>10/10/2026</t>
        </is>
      </c>
    </row>
    <row r="113">
      <c r="A113" t="n">
        <v>112</v>
      </c>
      <c r="B113" t="inlineStr">
        <is>
          <t>SKU-1112</t>
        </is>
      </c>
      <c r="C113" t="inlineStr">
        <is>
          <t>Disjuntor Bipolar DIN 20A Curva C</t>
        </is>
      </c>
      <c r="D113" t="inlineStr">
        <is>
          <t>Material Elétrico Industrial</t>
        </is>
      </c>
      <c r="E113" t="inlineStr">
        <is>
          <t>Rua E-16-01-A</t>
        </is>
      </c>
      <c r="F113" t="n">
        <v>5</v>
      </c>
      <c r="G113" t="inlineStr">
        <is>
          <t>UN</t>
        </is>
      </c>
      <c r="H113" t="n">
        <v>31.97</v>
      </c>
      <c r="I113">
        <f>F113*H113</f>
        <v/>
      </c>
      <c r="J113" t="n">
        <v>40</v>
      </c>
      <c r="K113">
        <f>IF(F113&lt;=J113,"CRÍTICO","NORMAL")</f>
        <v/>
      </c>
      <c r="L113" t="n">
        <v>68</v>
      </c>
      <c r="M113" t="n">
        <v>165</v>
      </c>
      <c r="N113" t="inlineStr">
        <is>
          <t>23/10/2026</t>
        </is>
      </c>
      <c r="O113" t="inlineStr">
        <is>
          <t>27/10/2026</t>
        </is>
      </c>
    </row>
    <row r="114">
      <c r="A114" t="n">
        <v>113</v>
      </c>
      <c r="B114" t="inlineStr">
        <is>
          <t>SKU-1113</t>
        </is>
      </c>
      <c r="C114" t="inlineStr">
        <is>
          <t>Tomada Industrial Padrão Steck 3P+T 16A</t>
        </is>
      </c>
      <c r="D114" t="inlineStr">
        <is>
          <t>Material Elétrico Industrial</t>
        </is>
      </c>
      <c r="E114" t="inlineStr">
        <is>
          <t>Rua A-05-02-B</t>
        </is>
      </c>
      <c r="F114" t="n">
        <v>71</v>
      </c>
      <c r="G114" t="inlineStr">
        <is>
          <t>UN</t>
        </is>
      </c>
      <c r="H114" t="n">
        <v>50.37</v>
      </c>
      <c r="I114">
        <f>F114*H114</f>
        <v/>
      </c>
      <c r="J114" t="n">
        <v>30</v>
      </c>
      <c r="K114">
        <f>IF(F114&lt;=J114,"CRÍTICO","NORMAL")</f>
        <v/>
      </c>
      <c r="L114" t="n">
        <v>188</v>
      </c>
      <c r="M114" t="n">
        <v>129</v>
      </c>
      <c r="N114" t="inlineStr">
        <is>
          <t>22/10/2026</t>
        </is>
      </c>
      <c r="O114" t="inlineStr">
        <is>
          <t>24/10/2026</t>
        </is>
      </c>
    </row>
    <row r="115">
      <c r="A115" t="n">
        <v>114</v>
      </c>
      <c r="B115" t="inlineStr">
        <is>
          <t>SKU-1114</t>
        </is>
      </c>
      <c r="C115" t="inlineStr">
        <is>
          <t>Fita Isolante 3M Imperial 18mm x 20m</t>
        </is>
      </c>
      <c r="D115" t="inlineStr">
        <is>
          <t>Material Elétrico Industrial</t>
        </is>
      </c>
      <c r="E115" t="inlineStr">
        <is>
          <t>Rua G-20-05-A</t>
        </is>
      </c>
      <c r="F115" t="n">
        <v>279</v>
      </c>
      <c r="G115" t="inlineStr">
        <is>
          <t>RL</t>
        </is>
      </c>
      <c r="H115" t="n">
        <v>9.390000000000001</v>
      </c>
      <c r="I115">
        <f>F115*H115</f>
        <v/>
      </c>
      <c r="J115" t="n">
        <v>150</v>
      </c>
      <c r="K115">
        <f>IF(F115&lt;=J115,"CRÍTICO","NORMAL")</f>
        <v/>
      </c>
      <c r="L115" t="n">
        <v>76</v>
      </c>
      <c r="M115" t="n">
        <v>172</v>
      </c>
      <c r="N115" t="inlineStr">
        <is>
          <t>13/10/2026</t>
        </is>
      </c>
      <c r="O115" t="inlineStr">
        <is>
          <t>13/10/2026</t>
        </is>
      </c>
    </row>
    <row r="116">
      <c r="A116" t="n">
        <v>115</v>
      </c>
      <c r="B116" t="inlineStr">
        <is>
          <t>SKU-1115</t>
        </is>
      </c>
      <c r="C116" t="inlineStr">
        <is>
          <t>Terminal Ilhós Tubular 2,5mm² Azul</t>
        </is>
      </c>
      <c r="D116" t="inlineStr">
        <is>
          <t>Material Elétrico Industrial</t>
        </is>
      </c>
      <c r="E116" t="inlineStr">
        <is>
          <t>Rua E-19-04-B</t>
        </is>
      </c>
      <c r="F116" t="n">
        <v>48</v>
      </c>
      <c r="G116" t="inlineStr">
        <is>
          <t>PCT</t>
        </is>
      </c>
      <c r="H116" t="n">
        <v>28.34</v>
      </c>
      <c r="I116">
        <f>F116*H116</f>
        <v/>
      </c>
      <c r="J116" t="n">
        <v>40</v>
      </c>
      <c r="K116">
        <f>IF(F116&lt;=J116,"CRÍTICO","NORMAL")</f>
        <v/>
      </c>
      <c r="L116" t="n">
        <v>64</v>
      </c>
      <c r="M116" t="n">
        <v>116</v>
      </c>
      <c r="N116" t="inlineStr">
        <is>
          <t>15/10/2026</t>
        </is>
      </c>
      <c r="O116" t="inlineStr">
        <is>
          <t>26/10/2026</t>
        </is>
      </c>
    </row>
    <row r="117">
      <c r="A117" t="n">
        <v>116</v>
      </c>
      <c r="B117" t="inlineStr">
        <is>
          <t>SKU-1116</t>
        </is>
      </c>
      <c r="C117" t="inlineStr">
        <is>
          <t>Canaleta Plástica Abertura Rasgada 40x40mm</t>
        </is>
      </c>
      <c r="D117" t="inlineStr">
        <is>
          <t>Material Elétrico Industrial</t>
        </is>
      </c>
      <c r="E117" t="inlineStr">
        <is>
          <t>Rua B-25-02-A</t>
        </is>
      </c>
      <c r="F117" t="n">
        <v>111</v>
      </c>
      <c r="G117" t="inlineStr">
        <is>
          <t>UN</t>
        </is>
      </c>
      <c r="H117" t="n">
        <v>22.35</v>
      </c>
      <c r="I117">
        <f>F117*H117</f>
        <v/>
      </c>
      <c r="J117" t="n">
        <v>60</v>
      </c>
      <c r="K117">
        <f>IF(F117&lt;=J117,"CRÍTICO","NORMAL")</f>
        <v/>
      </c>
      <c r="L117" t="n">
        <v>102</v>
      </c>
      <c r="M117" t="n">
        <v>63</v>
      </c>
      <c r="N117" t="inlineStr">
        <is>
          <t>14/10/2026</t>
        </is>
      </c>
      <c r="O117" t="inlineStr">
        <is>
          <t>23/10/2026</t>
        </is>
      </c>
    </row>
    <row r="118">
      <c r="A118" t="n">
        <v>117</v>
      </c>
      <c r="B118" t="inlineStr">
        <is>
          <t>SKU-1117</t>
        </is>
      </c>
      <c r="C118" t="inlineStr">
        <is>
          <t>Caixa de Passagem Sobrepor PVC 20x20</t>
        </is>
      </c>
      <c r="D118" t="inlineStr">
        <is>
          <t>Material Elétrico Industrial</t>
        </is>
      </c>
      <c r="E118" t="inlineStr">
        <is>
          <t>Rua D-06-05-A</t>
        </is>
      </c>
      <c r="F118" t="n">
        <v>120</v>
      </c>
      <c r="G118" t="inlineStr">
        <is>
          <t>UN</t>
        </is>
      </c>
      <c r="H118" t="n">
        <v>33.26</v>
      </c>
      <c r="I118">
        <f>F118*H118</f>
        <v/>
      </c>
      <c r="J118" t="n">
        <v>25</v>
      </c>
      <c r="K118">
        <f>IF(F118&lt;=J118,"CRÍTICO","NORMAL")</f>
        <v/>
      </c>
      <c r="L118" t="n">
        <v>122</v>
      </c>
      <c r="M118" t="n">
        <v>19</v>
      </c>
      <c r="N118" t="inlineStr">
        <is>
          <t>21/10/2026</t>
        </is>
      </c>
      <c r="O118" t="inlineStr">
        <is>
          <t>21/10/2026</t>
        </is>
      </c>
    </row>
    <row r="119">
      <c r="A119" t="n">
        <v>118</v>
      </c>
      <c r="B119" t="inlineStr">
        <is>
          <t>SKU-1118</t>
        </is>
      </c>
      <c r="C119" t="inlineStr">
        <is>
          <t>Sensor de Presença Infravermelho Industrial</t>
        </is>
      </c>
      <c r="D119" t="inlineStr">
        <is>
          <t>Material Elétrico Industrial</t>
        </is>
      </c>
      <c r="E119" t="inlineStr">
        <is>
          <t>Rua H-10-01-A</t>
        </is>
      </c>
      <c r="F119" t="n">
        <v>43</v>
      </c>
      <c r="G119" t="inlineStr">
        <is>
          <t>UN</t>
        </is>
      </c>
      <c r="H119" t="n">
        <v>76.55</v>
      </c>
      <c r="I119">
        <f>F119*H119</f>
        <v/>
      </c>
      <c r="J119" t="n">
        <v>20</v>
      </c>
      <c r="K119">
        <f>IF(F119&lt;=J119,"CRÍTICO","NORMAL")</f>
        <v/>
      </c>
      <c r="L119" t="n">
        <v>165</v>
      </c>
      <c r="M119" t="n">
        <v>146</v>
      </c>
      <c r="N119" t="inlineStr">
        <is>
          <t>09/10/2026</t>
        </is>
      </c>
      <c r="O119" t="inlineStr">
        <is>
          <t>26/10/2026</t>
        </is>
      </c>
    </row>
    <row r="120">
      <c r="A120" t="n">
        <v>119</v>
      </c>
      <c r="B120" t="inlineStr">
        <is>
          <t>SKU-1119</t>
        </is>
      </c>
      <c r="C120" t="inlineStr">
        <is>
          <t>Plug Macho Industrial 2P+T 16A 220V</t>
        </is>
      </c>
      <c r="D120" t="inlineStr">
        <is>
          <t>Material Elétrico Industrial</t>
        </is>
      </c>
      <c r="E120" t="inlineStr">
        <is>
          <t>Rua H-03-02-B</t>
        </is>
      </c>
      <c r="F120" t="n">
        <v>194</v>
      </c>
      <c r="G120" t="inlineStr">
        <is>
          <t>UN</t>
        </is>
      </c>
      <c r="H120" t="n">
        <v>26.23</v>
      </c>
      <c r="I120">
        <f>F120*H120</f>
        <v/>
      </c>
      <c r="J120" t="n">
        <v>40</v>
      </c>
      <c r="K120">
        <f>IF(F120&lt;=J120,"CRÍTICO","NORMAL")</f>
        <v/>
      </c>
      <c r="L120" t="n">
        <v>195</v>
      </c>
      <c r="M120" t="n">
        <v>121</v>
      </c>
      <c r="N120" t="inlineStr">
        <is>
          <t>09/10/2026</t>
        </is>
      </c>
      <c r="O120" t="inlineStr">
        <is>
          <t>26/10/2026</t>
        </is>
      </c>
    </row>
    <row r="121">
      <c r="A121" t="n">
        <v>120</v>
      </c>
      <c r="B121" t="inlineStr">
        <is>
          <t>SKU-1120</t>
        </is>
      </c>
      <c r="C121" t="inlineStr">
        <is>
          <t>Lâmpada LED Tubular T8 18W 120cm</t>
        </is>
      </c>
      <c r="D121" t="inlineStr">
        <is>
          <t>Material Elétrico Industrial</t>
        </is>
      </c>
      <c r="E121" t="inlineStr">
        <is>
          <t>Rua G-04-05-A</t>
        </is>
      </c>
      <c r="F121" t="n">
        <v>725</v>
      </c>
      <c r="G121" t="inlineStr">
        <is>
          <t>UN</t>
        </is>
      </c>
      <c r="H121" t="n">
        <v>15.44</v>
      </c>
      <c r="I121">
        <f>F121*H121</f>
        <v/>
      </c>
      <c r="J121" t="n">
        <v>200</v>
      </c>
      <c r="K121">
        <f>IF(F121&lt;=J121,"CRÍTICO","NORMAL")</f>
        <v/>
      </c>
      <c r="L121" t="n">
        <v>138</v>
      </c>
      <c r="M121" t="n">
        <v>13</v>
      </c>
      <c r="N121" t="inlineStr">
        <is>
          <t>23/10/2026</t>
        </is>
      </c>
      <c r="O121" t="inlineStr">
        <is>
          <t>23/10/2026</t>
        </is>
      </c>
    </row>
    <row r="122">
      <c r="A122" t="n">
        <v>121</v>
      </c>
      <c r="B122" t="inlineStr">
        <is>
          <t>SKU-1121</t>
        </is>
      </c>
      <c r="C122" t="inlineStr">
        <is>
          <t>Mangueira Pneumática Poliuretano 8mm</t>
        </is>
      </c>
      <c r="D122" t="inlineStr">
        <is>
          <t>Hidráulica e Pneumática</t>
        </is>
      </c>
      <c r="E122" t="inlineStr">
        <is>
          <t>Rua C-03-01-A</t>
        </is>
      </c>
      <c r="F122" t="n">
        <v>252</v>
      </c>
      <c r="G122" t="inlineStr">
        <is>
          <t>M</t>
        </is>
      </c>
      <c r="H122" t="n">
        <v>6.56</v>
      </c>
      <c r="I122">
        <f>F122*H122</f>
        <v/>
      </c>
      <c r="J122" t="n">
        <v>200</v>
      </c>
      <c r="K122">
        <f>IF(F122&lt;=J122,"CRÍTICO","NORMAL")</f>
        <v/>
      </c>
      <c r="L122" t="n">
        <v>98</v>
      </c>
      <c r="M122" t="n">
        <v>86</v>
      </c>
      <c r="N122" t="inlineStr">
        <is>
          <t>15/10/2026</t>
        </is>
      </c>
      <c r="O122" t="inlineStr">
        <is>
          <t>17/10/2026</t>
        </is>
      </c>
    </row>
    <row r="123">
      <c r="A123" t="n">
        <v>122</v>
      </c>
      <c r="B123" t="inlineStr">
        <is>
          <t>SKU-1122</t>
        </is>
      </c>
      <c r="C123" t="inlineStr">
        <is>
          <t>Conexão Engate Rápido Pneumático 1/4</t>
        </is>
      </c>
      <c r="D123" t="inlineStr">
        <is>
          <t>Hidráulica e Pneumática</t>
        </is>
      </c>
      <c r="E123" t="inlineStr">
        <is>
          <t>Rua E-15-01-B</t>
        </is>
      </c>
      <c r="F123" t="n">
        <v>327</v>
      </c>
      <c r="G123" t="inlineStr">
        <is>
          <t>UN</t>
        </is>
      </c>
      <c r="H123" t="n">
        <v>17.65</v>
      </c>
      <c r="I123">
        <f>F123*H123</f>
        <v/>
      </c>
      <c r="J123" t="n">
        <v>80</v>
      </c>
      <c r="K123">
        <f>IF(F123&lt;=J123,"CRÍTICO","NORMAL")</f>
        <v/>
      </c>
      <c r="L123" t="n">
        <v>178</v>
      </c>
      <c r="M123" t="n">
        <v>91</v>
      </c>
      <c r="N123" t="inlineStr">
        <is>
          <t>02/10/2026</t>
        </is>
      </c>
      <c r="O123" t="inlineStr">
        <is>
          <t>23/10/2026</t>
        </is>
      </c>
    </row>
    <row r="124">
      <c r="A124" t="n">
        <v>123</v>
      </c>
      <c r="B124" t="inlineStr">
        <is>
          <t>SKU-1123</t>
        </is>
      </c>
      <c r="C124" t="inlineStr">
        <is>
          <t>Filtro Regulador de Ar c/ Lubrificador</t>
        </is>
      </c>
      <c r="D124" t="inlineStr">
        <is>
          <t>Hidráulica e Pneumática</t>
        </is>
      </c>
      <c r="E124" t="inlineStr">
        <is>
          <t>Rua E-17-05-B</t>
        </is>
      </c>
      <c r="F124" t="n">
        <v>5</v>
      </c>
      <c r="G124" t="inlineStr">
        <is>
          <t>UN</t>
        </is>
      </c>
      <c r="H124" t="n">
        <v>177.24</v>
      </c>
      <c r="I124">
        <f>F124*H124</f>
        <v/>
      </c>
      <c r="J124" t="n">
        <v>12</v>
      </c>
      <c r="K124">
        <f>IF(F124&lt;=J124,"CRÍTICO","NORMAL")</f>
        <v/>
      </c>
      <c r="L124" t="n">
        <v>26</v>
      </c>
      <c r="M124" t="n">
        <v>115</v>
      </c>
      <c r="N124" t="inlineStr">
        <is>
          <t>26/10/2026</t>
        </is>
      </c>
      <c r="O124" t="inlineStr">
        <is>
          <t>27/10/2026</t>
        </is>
      </c>
    </row>
    <row r="125">
      <c r="A125" t="n">
        <v>124</v>
      </c>
      <c r="B125" t="inlineStr">
        <is>
          <t>SKU-1124</t>
        </is>
      </c>
      <c r="C125" t="inlineStr">
        <is>
          <t>Veda Rosca Fita Teflon 18mm x 50m</t>
        </is>
      </c>
      <c r="D125" t="inlineStr">
        <is>
          <t>Hidráulica e Pneumática</t>
        </is>
      </c>
      <c r="E125" t="inlineStr">
        <is>
          <t>Rua G-24-03-B</t>
        </is>
      </c>
      <c r="F125" t="n">
        <v>58</v>
      </c>
      <c r="G125" t="inlineStr">
        <is>
          <t>RL</t>
        </is>
      </c>
      <c r="H125" t="n">
        <v>5.28</v>
      </c>
      <c r="I125">
        <f>F125*H125</f>
        <v/>
      </c>
      <c r="J125" t="n">
        <v>100</v>
      </c>
      <c r="K125">
        <f>IF(F125&lt;=J125,"CRÍTICO","NORMAL")</f>
        <v/>
      </c>
      <c r="L125" t="n">
        <v>76</v>
      </c>
      <c r="M125" t="n">
        <v>58</v>
      </c>
      <c r="N125" t="inlineStr">
        <is>
          <t>26/10/2026</t>
        </is>
      </c>
      <c r="O125" t="inlineStr">
        <is>
          <t>26/10/2026</t>
        </is>
      </c>
    </row>
    <row r="126">
      <c r="A126" t="n">
        <v>125</v>
      </c>
      <c r="B126" t="inlineStr">
        <is>
          <t>SKU-1125</t>
        </is>
      </c>
      <c r="C126" t="inlineStr">
        <is>
          <t>Válvula Esfera Latão Passagem Plena 3/4</t>
        </is>
      </c>
      <c r="D126" t="inlineStr">
        <is>
          <t>Hidráulica e Pneumática</t>
        </is>
      </c>
      <c r="E126" t="inlineStr">
        <is>
          <t>Rua A-25-03-A</t>
        </is>
      </c>
      <c r="F126" t="n">
        <v>5</v>
      </c>
      <c r="G126" t="inlineStr">
        <is>
          <t>UN</t>
        </is>
      </c>
      <c r="H126" t="n">
        <v>41.88</v>
      </c>
      <c r="I126">
        <f>F126*H126</f>
        <v/>
      </c>
      <c r="J126" t="n">
        <v>30</v>
      </c>
      <c r="K126">
        <f>IF(F126&lt;=J126,"CRÍTICO","NORMAL")</f>
        <v/>
      </c>
      <c r="L126" t="n">
        <v>35</v>
      </c>
      <c r="M126" t="n">
        <v>116</v>
      </c>
      <c r="N126" t="inlineStr">
        <is>
          <t>14/10/2026</t>
        </is>
      </c>
      <c r="O126" t="inlineStr">
        <is>
          <t>28/10/2026</t>
        </is>
      </c>
    </row>
    <row r="127">
      <c r="A127" t="n">
        <v>126</v>
      </c>
      <c r="B127" t="inlineStr">
        <is>
          <t>SKU-1126</t>
        </is>
      </c>
      <c r="C127" t="inlineStr">
        <is>
          <t>Abraçadeira Tipo D c/ Cunha 1 polegada</t>
        </is>
      </c>
      <c r="D127" t="inlineStr">
        <is>
          <t>Hidráulica e Pneumática</t>
        </is>
      </c>
      <c r="E127" t="inlineStr">
        <is>
          <t>Rua H-09-02-B</t>
        </is>
      </c>
      <c r="F127" t="n">
        <v>735</v>
      </c>
      <c r="G127" t="inlineStr">
        <is>
          <t>UN</t>
        </is>
      </c>
      <c r="H127" t="n">
        <v>3.3</v>
      </c>
      <c r="I127">
        <f>F127*H127</f>
        <v/>
      </c>
      <c r="J127" t="n">
        <v>250</v>
      </c>
      <c r="K127">
        <f>IF(F127&lt;=J127,"CRÍTICO","NORMAL")</f>
        <v/>
      </c>
      <c r="L127" t="n">
        <v>67</v>
      </c>
      <c r="M127" t="n">
        <v>82</v>
      </c>
      <c r="N127" t="inlineStr">
        <is>
          <t>22/10/2026</t>
        </is>
      </c>
      <c r="O127" t="inlineStr">
        <is>
          <t>23/10/2026</t>
        </is>
      </c>
    </row>
    <row r="128">
      <c r="A128" t="n">
        <v>127</v>
      </c>
      <c r="B128" t="inlineStr">
        <is>
          <t>SKU-1127</t>
        </is>
      </c>
      <c r="C128" t="inlineStr">
        <is>
          <t>Mangueira Espiralada para Ar Comprimido 8m</t>
        </is>
      </c>
      <c r="D128" t="inlineStr">
        <is>
          <t>Hidráulica e Pneumática</t>
        </is>
      </c>
      <c r="E128" t="inlineStr">
        <is>
          <t>Rua H-12-04-B</t>
        </is>
      </c>
      <c r="F128" t="n">
        <v>201</v>
      </c>
      <c r="G128" t="inlineStr">
        <is>
          <t>UN</t>
        </is>
      </c>
      <c r="H128" t="n">
        <v>66.11</v>
      </c>
      <c r="I128">
        <f>F128*H128</f>
        <v/>
      </c>
      <c r="J128" t="n">
        <v>20</v>
      </c>
      <c r="K128">
        <f>IF(F128&lt;=J128,"CRÍTICO","NORMAL")</f>
        <v/>
      </c>
      <c r="L128" t="n">
        <v>191</v>
      </c>
      <c r="M128" t="n">
        <v>14</v>
      </c>
      <c r="N128" t="inlineStr">
        <is>
          <t>06/10/2026</t>
        </is>
      </c>
      <c r="O128" t="inlineStr">
        <is>
          <t>25/10/2026</t>
        </is>
      </c>
    </row>
    <row r="129">
      <c r="A129" t="n">
        <v>128</v>
      </c>
      <c r="B129" t="inlineStr">
        <is>
          <t>SKU-1128</t>
        </is>
      </c>
      <c r="C129" t="inlineStr">
        <is>
          <t>Pistola de Ar Comprimido para Limpeza</t>
        </is>
      </c>
      <c r="D129" t="inlineStr">
        <is>
          <t>Hidráulica e Pneumática</t>
        </is>
      </c>
      <c r="E129" t="inlineStr">
        <is>
          <t>Rua F-14-04-B</t>
        </is>
      </c>
      <c r="F129" t="n">
        <v>132</v>
      </c>
      <c r="G129" t="inlineStr">
        <is>
          <t>UN</t>
        </is>
      </c>
      <c r="H129" t="n">
        <v>36.56</v>
      </c>
      <c r="I129">
        <f>F129*H129</f>
        <v/>
      </c>
      <c r="J129" t="n">
        <v>30</v>
      </c>
      <c r="K129">
        <f>IF(F129&lt;=J129,"CRÍTICO","NORMAL")</f>
        <v/>
      </c>
      <c r="L129" t="n">
        <v>162</v>
      </c>
      <c r="M129" t="n">
        <v>120</v>
      </c>
      <c r="N129" t="inlineStr">
        <is>
          <t>03/10/2026</t>
        </is>
      </c>
      <c r="O129" t="inlineStr">
        <is>
          <t>16/10/2026</t>
        </is>
      </c>
    </row>
    <row r="130">
      <c r="A130" t="n">
        <v>129</v>
      </c>
      <c r="B130" t="inlineStr">
        <is>
          <t>SKU-1129</t>
        </is>
      </c>
      <c r="C130" t="inlineStr">
        <is>
          <t>Óleo Lubrificante para Linha Pneumática 1L</t>
        </is>
      </c>
      <c r="D130" t="inlineStr">
        <is>
          <t>Hidráulica e Pneumática</t>
        </is>
      </c>
      <c r="E130" t="inlineStr">
        <is>
          <t>Rua A-15-01-B</t>
        </is>
      </c>
      <c r="F130" t="n">
        <v>5</v>
      </c>
      <c r="G130" t="inlineStr">
        <is>
          <t>UN</t>
        </is>
      </c>
      <c r="H130" t="n">
        <v>37.33</v>
      </c>
      <c r="I130">
        <f>F130*H130</f>
        <v/>
      </c>
      <c r="J130" t="n">
        <v>25</v>
      </c>
      <c r="K130">
        <f>IF(F130&lt;=J130,"CRÍTICO","NORMAL")</f>
        <v/>
      </c>
      <c r="L130" t="n">
        <v>12</v>
      </c>
      <c r="M130" t="n">
        <v>53</v>
      </c>
      <c r="N130" t="inlineStr">
        <is>
          <t>17/10/2026</t>
        </is>
      </c>
      <c r="O130" t="inlineStr">
        <is>
          <t>22/10/2026</t>
        </is>
      </c>
    </row>
    <row r="131">
      <c r="A131" t="n">
        <v>130</v>
      </c>
      <c r="B131" t="inlineStr">
        <is>
          <t>SKU-1130</t>
        </is>
      </c>
      <c r="C131" t="inlineStr">
        <is>
          <t>Manômetro de Pressão 0-11 Bar 1/4</t>
        </is>
      </c>
      <c r="D131" t="inlineStr">
        <is>
          <t>Hidráulica e Pneumática</t>
        </is>
      </c>
      <c r="E131" t="inlineStr">
        <is>
          <t>Rua A-22-05-B</t>
        </is>
      </c>
      <c r="F131" t="n">
        <v>184</v>
      </c>
      <c r="G131" t="inlineStr">
        <is>
          <t>UN</t>
        </is>
      </c>
      <c r="H131" t="n">
        <v>45.86</v>
      </c>
      <c r="I131">
        <f>F131*H131</f>
        <v/>
      </c>
      <c r="J131" t="n">
        <v>15</v>
      </c>
      <c r="K131">
        <f>IF(F131&lt;=J131,"CRÍTICO","NORMAL")</f>
        <v/>
      </c>
      <c r="L131" t="n">
        <v>199</v>
      </c>
      <c r="M131" t="n">
        <v>42</v>
      </c>
      <c r="N131" t="inlineStr">
        <is>
          <t>06/10/2026</t>
        </is>
      </c>
      <c r="O131" t="inlineStr">
        <is>
          <t>06/10/2026</t>
        </is>
      </c>
    </row>
    <row r="132">
      <c r="A132" t="n">
        <v>131</v>
      </c>
      <c r="B132" t="inlineStr">
        <is>
          <t>SKU-1131</t>
        </is>
      </c>
      <c r="C132" t="inlineStr">
        <is>
          <t>Óleo Hidráulico ISO VG 68 para Paleteira 5L</t>
        </is>
      </c>
      <c r="D132" t="inlineStr">
        <is>
          <t>Lubrificantes e Químicos</t>
        </is>
      </c>
      <c r="E132" t="inlineStr">
        <is>
          <t>Rua F-20-04-B</t>
        </is>
      </c>
      <c r="F132" t="n">
        <v>18</v>
      </c>
      <c r="G132" t="inlineStr">
        <is>
          <t>GL</t>
        </is>
      </c>
      <c r="H132" t="n">
        <v>92.18000000000001</v>
      </c>
      <c r="I132">
        <f>F132*H132</f>
        <v/>
      </c>
      <c r="J132" t="n">
        <v>20</v>
      </c>
      <c r="K132">
        <f>IF(F132&lt;=J132,"CRÍTICO","NORMAL")</f>
        <v/>
      </c>
      <c r="L132" t="n">
        <v>143</v>
      </c>
      <c r="M132" t="n">
        <v>133</v>
      </c>
      <c r="N132" t="inlineStr">
        <is>
          <t>18/10/2026</t>
        </is>
      </c>
      <c r="O132" t="inlineStr">
        <is>
          <t>21/10/2026</t>
        </is>
      </c>
    </row>
    <row r="133">
      <c r="A133" t="n">
        <v>132</v>
      </c>
      <c r="B133" t="inlineStr">
        <is>
          <t>SKU-1132</t>
        </is>
      </c>
      <c r="C133" t="inlineStr">
        <is>
          <t>Graxa a Base de Lítio NLGI 2 Balde 1Kg</t>
        </is>
      </c>
      <c r="D133" t="inlineStr">
        <is>
          <t>Lubrificantes e Químicos</t>
        </is>
      </c>
      <c r="E133" t="inlineStr">
        <is>
          <t>Rua C-10-04-B</t>
        </is>
      </c>
      <c r="F133" t="n">
        <v>15</v>
      </c>
      <c r="G133" t="inlineStr">
        <is>
          <t>BD</t>
        </is>
      </c>
      <c r="H133" t="n">
        <v>40.02</v>
      </c>
      <c r="I133">
        <f>F133*H133</f>
        <v/>
      </c>
      <c r="J133" t="n">
        <v>30</v>
      </c>
      <c r="K133">
        <f>IF(F133&lt;=J133,"CRÍTICO","NORMAL")</f>
        <v/>
      </c>
      <c r="L133" t="n">
        <v>109</v>
      </c>
      <c r="M133" t="n">
        <v>106</v>
      </c>
      <c r="N133" t="inlineStr">
        <is>
          <t>06/10/2026</t>
        </is>
      </c>
      <c r="O133" t="inlineStr">
        <is>
          <t>18/10/2026</t>
        </is>
      </c>
    </row>
    <row r="134">
      <c r="A134" t="n">
        <v>133</v>
      </c>
      <c r="B134" t="inlineStr">
        <is>
          <t>SKU-1133</t>
        </is>
      </c>
      <c r="C134" t="inlineStr">
        <is>
          <t>Microóleo Desemperrante Aerosol WD-40 300ml</t>
        </is>
      </c>
      <c r="D134" t="inlineStr">
        <is>
          <t>Lubrificantes e Químicos</t>
        </is>
      </c>
      <c r="E134" t="inlineStr">
        <is>
          <t>Rua D-23-02-B</t>
        </is>
      </c>
      <c r="F134" t="n">
        <v>276</v>
      </c>
      <c r="G134" t="inlineStr">
        <is>
          <t>UN</t>
        </is>
      </c>
      <c r="H134" t="n">
        <v>27.11</v>
      </c>
      <c r="I134">
        <f>F134*H134</f>
        <v/>
      </c>
      <c r="J134" t="n">
        <v>90</v>
      </c>
      <c r="K134">
        <f>IF(F134&lt;=J134,"CRÍTICO","NORMAL")</f>
        <v/>
      </c>
      <c r="L134" t="n">
        <v>132</v>
      </c>
      <c r="M134" t="n">
        <v>81</v>
      </c>
      <c r="N134" t="inlineStr">
        <is>
          <t>12/10/2026</t>
        </is>
      </c>
      <c r="O134" t="inlineStr">
        <is>
          <t>14/10/2026</t>
        </is>
      </c>
    </row>
    <row r="135">
      <c r="A135" t="n">
        <v>134</v>
      </c>
      <c r="B135" t="inlineStr">
        <is>
          <t>SKU-1134</t>
        </is>
      </c>
      <c r="C135" t="inlineStr">
        <is>
          <t>Vaselina Industrial Sólida Pote 1Kg</t>
        </is>
      </c>
      <c r="D135" t="inlineStr">
        <is>
          <t>Lubrificantes e Químicos</t>
        </is>
      </c>
      <c r="E135" t="inlineStr">
        <is>
          <t>Rua B-08-01-B</t>
        </is>
      </c>
      <c r="F135" t="n">
        <v>5</v>
      </c>
      <c r="G135" t="inlineStr">
        <is>
          <t>UN</t>
        </is>
      </c>
      <c r="H135" t="n">
        <v>34.5</v>
      </c>
      <c r="I135">
        <f>F135*H135</f>
        <v/>
      </c>
      <c r="J135" t="n">
        <v>25</v>
      </c>
      <c r="K135">
        <f>IF(F135&lt;=J135,"CRÍTICO","NORMAL")</f>
        <v/>
      </c>
      <c r="L135" t="n">
        <v>85</v>
      </c>
      <c r="M135" t="n">
        <v>154</v>
      </c>
      <c r="N135" t="inlineStr">
        <is>
          <t>01/10/2026</t>
        </is>
      </c>
      <c r="O135" t="inlineStr">
        <is>
          <t>12/10/2026</t>
        </is>
      </c>
    </row>
    <row r="136">
      <c r="A136" t="n">
        <v>135</v>
      </c>
      <c r="B136" t="inlineStr">
        <is>
          <t>SKU-1135</t>
        </is>
      </c>
      <c r="C136" t="inlineStr">
        <is>
          <t>Desengraxante Cítrico Spray 400ml</t>
        </is>
      </c>
      <c r="D136" t="inlineStr">
        <is>
          <t>Lubrificantes e Químicos</t>
        </is>
      </c>
      <c r="E136" t="inlineStr">
        <is>
          <t>Rua H-23-03-B</t>
        </is>
      </c>
      <c r="F136" t="n">
        <v>48</v>
      </c>
      <c r="G136" t="inlineStr">
        <is>
          <t>UN</t>
        </is>
      </c>
      <c r="H136" t="n">
        <v>33.07</v>
      </c>
      <c r="I136">
        <f>F136*H136</f>
        <v/>
      </c>
      <c r="J136" t="n">
        <v>40</v>
      </c>
      <c r="K136">
        <f>IF(F136&lt;=J136,"CRÍTICO","NORMAL")</f>
        <v/>
      </c>
      <c r="L136" t="n">
        <v>76</v>
      </c>
      <c r="M136" t="n">
        <v>100</v>
      </c>
      <c r="N136" t="inlineStr">
        <is>
          <t>26/10/2026</t>
        </is>
      </c>
      <c r="O136" t="inlineStr">
        <is>
          <t>28/10/2026</t>
        </is>
      </c>
    </row>
    <row r="137">
      <c r="A137" t="n">
        <v>136</v>
      </c>
      <c r="B137" t="inlineStr">
        <is>
          <t>SKU-1136</t>
        </is>
      </c>
      <c r="C137" t="inlineStr">
        <is>
          <t>Aditivo para Radiador Concentrado 1L</t>
        </is>
      </c>
      <c r="D137" t="inlineStr">
        <is>
          <t>Lubrificantes e Químicos</t>
        </is>
      </c>
      <c r="E137" t="inlineStr">
        <is>
          <t>Rua D-15-05-A</t>
        </is>
      </c>
      <c r="F137" t="n">
        <v>176</v>
      </c>
      <c r="G137" t="inlineStr">
        <is>
          <t>UN</t>
        </is>
      </c>
      <c r="H137" t="n">
        <v>23.26</v>
      </c>
      <c r="I137">
        <f>F137*H137</f>
        <v/>
      </c>
      <c r="J137" t="n">
        <v>30</v>
      </c>
      <c r="K137">
        <f>IF(F137&lt;=J137,"CRÍTICO","NORMAL")</f>
        <v/>
      </c>
      <c r="L137" t="n">
        <v>170</v>
      </c>
      <c r="M137" t="n">
        <v>48</v>
      </c>
      <c r="N137" t="inlineStr">
        <is>
          <t>16/10/2026</t>
        </is>
      </c>
      <c r="O137" t="inlineStr">
        <is>
          <t>23/10/2026</t>
        </is>
      </c>
    </row>
    <row r="138">
      <c r="A138" t="n">
        <v>137</v>
      </c>
      <c r="B138" t="inlineStr">
        <is>
          <t>SKU-1137</t>
        </is>
      </c>
      <c r="C138" t="inlineStr">
        <is>
          <t>Tinta Aerosol Amarela Sinalização 400ml</t>
        </is>
      </c>
      <c r="D138" t="inlineStr">
        <is>
          <t>Lubrificantes e Químicos</t>
        </is>
      </c>
      <c r="E138" t="inlineStr">
        <is>
          <t>Rua C-03-03-B</t>
        </is>
      </c>
      <c r="F138" t="n">
        <v>40</v>
      </c>
      <c r="G138" t="inlineStr">
        <is>
          <t>UN</t>
        </is>
      </c>
      <c r="H138" t="n">
        <v>22.96</v>
      </c>
      <c r="I138">
        <f>F138*H138</f>
        <v/>
      </c>
      <c r="J138" t="n">
        <v>60</v>
      </c>
      <c r="K138">
        <f>IF(F138&lt;=J138,"CRÍTICO","NORMAL")</f>
        <v/>
      </c>
      <c r="L138" t="n">
        <v>20</v>
      </c>
      <c r="M138" t="n">
        <v>52</v>
      </c>
      <c r="N138" t="inlineStr">
        <is>
          <t>10/10/2026</t>
        </is>
      </c>
      <c r="O138" t="inlineStr">
        <is>
          <t>18/10/2026</t>
        </is>
      </c>
    </row>
    <row r="139">
      <c r="A139" t="n">
        <v>138</v>
      </c>
      <c r="B139" t="inlineStr">
        <is>
          <t>SKU-1138</t>
        </is>
      </c>
      <c r="C139" t="inlineStr">
        <is>
          <t>Tinta Aerosol Preta Fosca 400ml</t>
        </is>
      </c>
      <c r="D139" t="inlineStr">
        <is>
          <t>Lubrificantes e Químicos</t>
        </is>
      </c>
      <c r="E139" t="inlineStr">
        <is>
          <t>Rua E-01-03-B</t>
        </is>
      </c>
      <c r="F139" t="n">
        <v>7</v>
      </c>
      <c r="G139" t="inlineStr">
        <is>
          <t>UN</t>
        </is>
      </c>
      <c r="H139" t="n">
        <v>22.18</v>
      </c>
      <c r="I139">
        <f>F139*H139</f>
        <v/>
      </c>
      <c r="J139" t="n">
        <v>60</v>
      </c>
      <c r="K139">
        <f>IF(F139&lt;=J139,"CRÍTICO","NORMAL")</f>
        <v/>
      </c>
      <c r="L139" t="n">
        <v>17</v>
      </c>
      <c r="M139" t="n">
        <v>160</v>
      </c>
      <c r="N139" t="inlineStr">
        <is>
          <t>18/10/2026</t>
        </is>
      </c>
      <c r="O139" t="inlineStr">
        <is>
          <t>26/10/2026</t>
        </is>
      </c>
    </row>
    <row r="140">
      <c r="A140" t="n">
        <v>139</v>
      </c>
      <c r="B140" t="inlineStr">
        <is>
          <t>SKU-1139</t>
        </is>
      </c>
      <c r="C140" t="inlineStr">
        <is>
          <t>Cola de Contato Solução de Borracha 900ml</t>
        </is>
      </c>
      <c r="D140" t="inlineStr">
        <is>
          <t>Lubrificantes e Químicos</t>
        </is>
      </c>
      <c r="E140" t="inlineStr">
        <is>
          <t>Rua H-05-04-B</t>
        </is>
      </c>
      <c r="F140" t="n">
        <v>5</v>
      </c>
      <c r="G140" t="inlineStr">
        <is>
          <t>UN</t>
        </is>
      </c>
      <c r="H140" t="n">
        <v>44.25</v>
      </c>
      <c r="I140">
        <f>F140*H140</f>
        <v/>
      </c>
      <c r="J140" t="n">
        <v>20</v>
      </c>
      <c r="K140">
        <f>IF(F140&lt;=J140,"CRÍTICO","NORMAL")</f>
        <v/>
      </c>
      <c r="L140" t="n">
        <v>18</v>
      </c>
      <c r="M140" t="n">
        <v>173</v>
      </c>
      <c r="N140" t="inlineStr">
        <is>
          <t>06/10/2026</t>
        </is>
      </c>
      <c r="O140" t="inlineStr">
        <is>
          <t>23/10/2026</t>
        </is>
      </c>
    </row>
    <row r="141">
      <c r="A141" t="n">
        <v>140</v>
      </c>
      <c r="B141" t="inlineStr">
        <is>
          <t>SKU-1140</t>
        </is>
      </c>
      <c r="C141" t="inlineStr">
        <is>
          <t>Silicone Neutro Multiuso Cartucho 280g</t>
        </is>
      </c>
      <c r="D141" t="inlineStr">
        <is>
          <t>Lubrificantes e Químicos</t>
        </is>
      </c>
      <c r="E141" t="inlineStr">
        <is>
          <t>Rua G-15-03-A</t>
        </is>
      </c>
      <c r="F141" t="n">
        <v>175</v>
      </c>
      <c r="G141" t="inlineStr">
        <is>
          <t>UN</t>
        </is>
      </c>
      <c r="H141" t="n">
        <v>25.32</v>
      </c>
      <c r="I141">
        <f>F141*H141</f>
        <v/>
      </c>
      <c r="J141" t="n">
        <v>50</v>
      </c>
      <c r="K141">
        <f>IF(F141&lt;=J141,"CRÍTICO","NORMAL")</f>
        <v/>
      </c>
      <c r="L141" t="n">
        <v>143</v>
      </c>
      <c r="M141" t="n">
        <v>118</v>
      </c>
      <c r="N141" t="inlineStr">
        <is>
          <t>05/10/2026</t>
        </is>
      </c>
      <c r="O141" t="inlineStr">
        <is>
          <t>22/10/2026</t>
        </is>
      </c>
    </row>
    <row r="142">
      <c r="A142" t="n">
        <v>141</v>
      </c>
      <c r="B142" t="inlineStr">
        <is>
          <t>SKU-1141</t>
        </is>
      </c>
      <c r="C142" t="inlineStr">
        <is>
          <t>Placa de Sinalização Saída de Emergência</t>
        </is>
      </c>
      <c r="D142" t="inlineStr">
        <is>
          <t>Sinalização e Segurança</t>
        </is>
      </c>
      <c r="E142" t="inlineStr">
        <is>
          <t>Rua D-25-04-A</t>
        </is>
      </c>
      <c r="F142" t="n">
        <v>120</v>
      </c>
      <c r="G142" t="inlineStr">
        <is>
          <t>UN</t>
        </is>
      </c>
      <c r="H142" t="n">
        <v>18.44</v>
      </c>
      <c r="I142">
        <f>F142*H142</f>
        <v/>
      </c>
      <c r="J142" t="n">
        <v>40</v>
      </c>
      <c r="K142">
        <f>IF(F142&lt;=J142,"CRÍTICO","NORMAL")</f>
        <v/>
      </c>
      <c r="L142" t="n">
        <v>174</v>
      </c>
      <c r="M142" t="n">
        <v>102</v>
      </c>
      <c r="N142" t="inlineStr">
        <is>
          <t>02/10/2026</t>
        </is>
      </c>
      <c r="O142" t="inlineStr">
        <is>
          <t>13/10/2026</t>
        </is>
      </c>
    </row>
    <row r="143">
      <c r="A143" t="n">
        <v>142</v>
      </c>
      <c r="B143" t="inlineStr">
        <is>
          <t>SKU-1142</t>
        </is>
      </c>
      <c r="C143" t="inlineStr">
        <is>
          <t>Cone de Sinalização Flextrafico 75cm</t>
        </is>
      </c>
      <c r="D143" t="inlineStr">
        <is>
          <t>Sinalização e Segurança</t>
        </is>
      </c>
      <c r="E143" t="inlineStr">
        <is>
          <t>Rua G-22-02-B</t>
        </is>
      </c>
      <c r="F143" t="n">
        <v>169</v>
      </c>
      <c r="G143" t="inlineStr">
        <is>
          <t>UN</t>
        </is>
      </c>
      <c r="H143" t="n">
        <v>43.32</v>
      </c>
      <c r="I143">
        <f>F143*H143</f>
        <v/>
      </c>
      <c r="J143" t="n">
        <v>50</v>
      </c>
      <c r="K143">
        <f>IF(F143&lt;=J143,"CRÍTICO","NORMAL")</f>
        <v/>
      </c>
      <c r="L143" t="n">
        <v>165</v>
      </c>
      <c r="M143" t="n">
        <v>16</v>
      </c>
      <c r="N143" t="inlineStr">
        <is>
          <t>09/10/2026</t>
        </is>
      </c>
      <c r="O143" t="inlineStr">
        <is>
          <t>25/10/2026</t>
        </is>
      </c>
    </row>
    <row r="144">
      <c r="A144" t="n">
        <v>143</v>
      </c>
      <c r="B144" t="inlineStr">
        <is>
          <t>SKU-1143</t>
        </is>
      </c>
      <c r="C144" t="inlineStr">
        <is>
          <t>Pedestal para Corrente de Sinalização Preto/Amarelo</t>
        </is>
      </c>
      <c r="D144" t="inlineStr">
        <is>
          <t>Sinalização e Segurança</t>
        </is>
      </c>
      <c r="E144" t="inlineStr">
        <is>
          <t>Rua F-04-04-A</t>
        </is>
      </c>
      <c r="F144" t="n">
        <v>5</v>
      </c>
      <c r="G144" t="inlineStr">
        <is>
          <t>UN</t>
        </is>
      </c>
      <c r="H144" t="n">
        <v>39.56</v>
      </c>
      <c r="I144">
        <f>F144*H144</f>
        <v/>
      </c>
      <c r="J144" t="n">
        <v>30</v>
      </c>
      <c r="K144">
        <f>IF(F144&lt;=J144,"CRÍTICO","NORMAL")</f>
        <v/>
      </c>
      <c r="L144" t="n">
        <v>50</v>
      </c>
      <c r="M144" t="n">
        <v>159</v>
      </c>
      <c r="N144" t="inlineStr">
        <is>
          <t>02/10/2026</t>
        </is>
      </c>
      <c r="O144" t="inlineStr">
        <is>
          <t>03/10/2026</t>
        </is>
      </c>
    </row>
    <row r="145">
      <c r="A145" t="n">
        <v>144</v>
      </c>
      <c r="B145" t="inlineStr">
        <is>
          <t>SKU-1144</t>
        </is>
      </c>
      <c r="C145" t="inlineStr">
        <is>
          <t>Corrente Plástica Amarela/Preta 8mm (Elos)</t>
        </is>
      </c>
      <c r="D145" t="inlineStr">
        <is>
          <t>Sinalização e Segurança</t>
        </is>
      </c>
      <c r="E145" t="inlineStr">
        <is>
          <t>Rua C-14-02-A</t>
        </is>
      </c>
      <c r="F145" t="n">
        <v>296</v>
      </c>
      <c r="G145" t="inlineStr">
        <is>
          <t>M</t>
        </is>
      </c>
      <c r="H145" t="n">
        <v>8.74</v>
      </c>
      <c r="I145">
        <f>F145*H145</f>
        <v/>
      </c>
      <c r="J145" t="n">
        <v>100</v>
      </c>
      <c r="K145">
        <f>IF(F145&lt;=J145,"CRÍTICO","NORMAL")</f>
        <v/>
      </c>
      <c r="L145" t="n">
        <v>186</v>
      </c>
      <c r="M145" t="n">
        <v>70</v>
      </c>
      <c r="N145" t="inlineStr">
        <is>
          <t>27/10/2026</t>
        </is>
      </c>
      <c r="O145" t="inlineStr">
        <is>
          <t>28/10/2026</t>
        </is>
      </c>
    </row>
    <row r="146">
      <c r="A146" t="n">
        <v>145</v>
      </c>
      <c r="B146" t="inlineStr">
        <is>
          <t>SKU-1145</t>
        </is>
      </c>
      <c r="C146" t="inlineStr">
        <is>
          <t>Extintor de Incêndio Pó Químico ABC 4Kg</t>
        </is>
      </c>
      <c r="D146" t="inlineStr">
        <is>
          <t>Sinalização e Segurança</t>
        </is>
      </c>
      <c r="E146" t="inlineStr">
        <is>
          <t>Rua F-20-04-A</t>
        </is>
      </c>
      <c r="F146" t="n">
        <v>28</v>
      </c>
      <c r="G146" t="inlineStr">
        <is>
          <t>UN</t>
        </is>
      </c>
      <c r="H146" t="n">
        <v>165.64</v>
      </c>
      <c r="I146">
        <f>F146*H146</f>
        <v/>
      </c>
      <c r="J146" t="n">
        <v>15</v>
      </c>
      <c r="K146">
        <f>IF(F146&lt;=J146,"CRÍTICO","NORMAL")</f>
        <v/>
      </c>
      <c r="L146" t="n">
        <v>43</v>
      </c>
      <c r="M146" t="n">
        <v>33</v>
      </c>
      <c r="N146" t="inlineStr">
        <is>
          <t>25/10/2026</t>
        </is>
      </c>
      <c r="O146" t="inlineStr">
        <is>
          <t>25/10/2026</t>
        </is>
      </c>
    </row>
    <row r="147">
      <c r="A147" t="n">
        <v>146</v>
      </c>
      <c r="B147" t="inlineStr">
        <is>
          <t>SKU-1146</t>
        </is>
      </c>
      <c r="C147" t="inlineStr">
        <is>
          <t>Espelho Convexo de Segurança 60cm Panorâmico</t>
        </is>
      </c>
      <c r="D147" t="inlineStr">
        <is>
          <t>Sinalização e Segurança</t>
        </is>
      </c>
      <c r="E147" t="inlineStr">
        <is>
          <t>Rua G-11-04-A</t>
        </is>
      </c>
      <c r="F147" t="n">
        <v>64</v>
      </c>
      <c r="G147" t="inlineStr">
        <is>
          <t>UN</t>
        </is>
      </c>
      <c r="H147" t="n">
        <v>177.02</v>
      </c>
      <c r="I147">
        <f>F147*H147</f>
        <v/>
      </c>
      <c r="J147" t="n">
        <v>10</v>
      </c>
      <c r="K147">
        <f>IF(F147&lt;=J147,"CRÍTICO","NORMAL")</f>
        <v/>
      </c>
      <c r="L147" t="n">
        <v>100</v>
      </c>
      <c r="M147" t="n">
        <v>61</v>
      </c>
      <c r="N147" t="inlineStr">
        <is>
          <t>04/10/2026</t>
        </is>
      </c>
      <c r="O147" t="inlineStr">
        <is>
          <t>12/10/2026</t>
        </is>
      </c>
    </row>
    <row r="148">
      <c r="A148" t="n">
        <v>147</v>
      </c>
      <c r="B148" t="inlineStr">
        <is>
          <t>SKU-1147</t>
        </is>
      </c>
      <c r="C148" t="inlineStr">
        <is>
          <t>Fita Fotoluminescente para Degrau 50mm</t>
        </is>
      </c>
      <c r="D148" t="inlineStr">
        <is>
          <t>Sinalização e Segurança</t>
        </is>
      </c>
      <c r="E148" t="inlineStr">
        <is>
          <t>Rua E-08-01-B</t>
        </is>
      </c>
      <c r="F148" t="n">
        <v>5</v>
      </c>
      <c r="G148" t="inlineStr">
        <is>
          <t>RL</t>
        </is>
      </c>
      <c r="H148" t="n">
        <v>69.77</v>
      </c>
      <c r="I148">
        <f>F148*H148</f>
        <v/>
      </c>
      <c r="J148" t="n">
        <v>20</v>
      </c>
      <c r="K148">
        <f>IF(F148&lt;=J148,"CRÍTICO","NORMAL")</f>
        <v/>
      </c>
      <c r="L148" t="n">
        <v>126</v>
      </c>
      <c r="M148" t="n">
        <v>136</v>
      </c>
      <c r="N148" t="inlineStr">
        <is>
          <t>14/10/2026</t>
        </is>
      </c>
      <c r="O148" t="inlineStr">
        <is>
          <t>21/10/2026</t>
        </is>
      </c>
    </row>
    <row r="149">
      <c r="A149" t="n">
        <v>148</v>
      </c>
      <c r="B149" t="inlineStr">
        <is>
          <t>SKU-1148</t>
        </is>
      </c>
      <c r="C149" t="inlineStr">
        <is>
          <t>Sinaleira Audiovisual Led para Empilhadeira</t>
        </is>
      </c>
      <c r="D149" t="inlineStr">
        <is>
          <t>Sinalização e Segurança</t>
        </is>
      </c>
      <c r="E149" t="inlineStr">
        <is>
          <t>Rua H-06-03-A</t>
        </is>
      </c>
      <c r="F149" t="n">
        <v>36</v>
      </c>
      <c r="G149" t="inlineStr">
        <is>
          <t>UN</t>
        </is>
      </c>
      <c r="H149" t="n">
        <v>137.54</v>
      </c>
      <c r="I149">
        <f>F149*H149</f>
        <v/>
      </c>
      <c r="J149" t="n">
        <v>12</v>
      </c>
      <c r="K149">
        <f>IF(F149&lt;=J149,"CRÍTICO","NORMAL")</f>
        <v/>
      </c>
      <c r="L149" t="n">
        <v>50</v>
      </c>
      <c r="M149" t="n">
        <v>18</v>
      </c>
      <c r="N149" t="inlineStr">
        <is>
          <t>11/10/2026</t>
        </is>
      </c>
      <c r="O149" t="inlineStr">
        <is>
          <t>13/10/2026</t>
        </is>
      </c>
    </row>
    <row r="150">
      <c r="A150" t="n">
        <v>149</v>
      </c>
      <c r="B150" t="inlineStr">
        <is>
          <t>SKU-1149</t>
        </is>
      </c>
      <c r="C150" t="inlineStr">
        <is>
          <t>Farol Blue Spot de Segurança Empilhadeira</t>
        </is>
      </c>
      <c r="D150" t="inlineStr">
        <is>
          <t>Sinalização e Segurança</t>
        </is>
      </c>
      <c r="E150" t="inlineStr">
        <is>
          <t>Rua E-12-03-B</t>
        </is>
      </c>
      <c r="F150" t="n">
        <v>5</v>
      </c>
      <c r="G150" t="inlineStr">
        <is>
          <t>UN</t>
        </is>
      </c>
      <c r="H150" t="n">
        <v>185.14</v>
      </c>
      <c r="I150">
        <f>F150*H150</f>
        <v/>
      </c>
      <c r="J150" t="n">
        <v>15</v>
      </c>
      <c r="K150">
        <f>IF(F150&lt;=J150,"CRÍTICO","NORMAL")</f>
        <v/>
      </c>
      <c r="L150" t="n">
        <v>33</v>
      </c>
      <c r="M150" t="n">
        <v>47</v>
      </c>
      <c r="N150" t="inlineStr">
        <is>
          <t>19/10/2026</t>
        </is>
      </c>
      <c r="O150" t="inlineStr">
        <is>
          <t>26/10/2026</t>
        </is>
      </c>
    </row>
    <row r="151">
      <c r="A151" t="n">
        <v>150</v>
      </c>
      <c r="B151" t="inlineStr">
        <is>
          <t>SKU-1150</t>
        </is>
      </c>
      <c r="C151" t="inlineStr">
        <is>
          <t>Alarme de Ré Bivolt para Veículos Depósito</t>
        </is>
      </c>
      <c r="D151" t="inlineStr">
        <is>
          <t>Sinalização e Segurança</t>
        </is>
      </c>
      <c r="E151" t="inlineStr">
        <is>
          <t>Rua C-06-02-A</t>
        </is>
      </c>
      <c r="F151" t="n">
        <v>122</v>
      </c>
      <c r="G151" t="inlineStr">
        <is>
          <t>UN</t>
        </is>
      </c>
      <c r="H151" t="n">
        <v>88.15000000000001</v>
      </c>
      <c r="I151">
        <f>F151*H151</f>
        <v/>
      </c>
      <c r="J151" t="n">
        <v>20</v>
      </c>
      <c r="K151">
        <f>IF(F151&lt;=J151,"CRÍTICO","NORMAL")</f>
        <v/>
      </c>
      <c r="L151" t="n">
        <v>124</v>
      </c>
      <c r="M151" t="n">
        <v>52</v>
      </c>
      <c r="N151" t="inlineStr">
        <is>
          <t>02/10/2026</t>
        </is>
      </c>
      <c r="O151" t="inlineStr">
        <is>
          <t>23/10/2026</t>
        </is>
      </c>
    </row>
    <row r="152">
      <c r="A152" t="n">
        <v>151</v>
      </c>
      <c r="B152" t="inlineStr">
        <is>
          <t>SKU-1151</t>
        </is>
      </c>
      <c r="C152" t="inlineStr">
        <is>
          <t>Papel A4 Report 75g (Caixa c/ 10 Pacotes)</t>
        </is>
      </c>
      <c r="D152" t="inlineStr">
        <is>
          <t>Escritório Logístico</t>
        </is>
      </c>
      <c r="E152" t="inlineStr">
        <is>
          <t>Rua D-16-05-A</t>
        </is>
      </c>
      <c r="F152" t="n">
        <v>44</v>
      </c>
      <c r="G152" t="inlineStr">
        <is>
          <t>CX</t>
        </is>
      </c>
      <c r="H152" t="n">
        <v>239.07</v>
      </c>
      <c r="I152">
        <f>F152*H152</f>
        <v/>
      </c>
      <c r="J152" t="n">
        <v>25</v>
      </c>
      <c r="K152">
        <f>IF(F152&lt;=J152,"CRÍTICO","NORMAL")</f>
        <v/>
      </c>
      <c r="L152" t="n">
        <v>33</v>
      </c>
      <c r="M152" t="n">
        <v>6</v>
      </c>
      <c r="N152" t="inlineStr">
        <is>
          <t>17/10/2026</t>
        </is>
      </c>
      <c r="O152" t="inlineStr">
        <is>
          <t>21/10/2026</t>
        </is>
      </c>
    </row>
    <row r="153">
      <c r="A153" t="n">
        <v>152</v>
      </c>
      <c r="B153" t="inlineStr">
        <is>
          <t>SKU-1152</t>
        </is>
      </c>
      <c r="C153" t="inlineStr">
        <is>
          <t>Prancheta de Alumínio c/ Apressador A4</t>
        </is>
      </c>
      <c r="D153" t="inlineStr">
        <is>
          <t>Escritório Logístico</t>
        </is>
      </c>
      <c r="E153" t="inlineStr">
        <is>
          <t>Rua H-09-01-B</t>
        </is>
      </c>
      <c r="F153" t="n">
        <v>186</v>
      </c>
      <c r="G153" t="inlineStr">
        <is>
          <t>UN</t>
        </is>
      </c>
      <c r="H153" t="n">
        <v>28.5</v>
      </c>
      <c r="I153">
        <f>F153*H153</f>
        <v/>
      </c>
      <c r="J153" t="n">
        <v>40</v>
      </c>
      <c r="K153">
        <f>IF(F153&lt;=J153,"CRÍTICO","NORMAL")</f>
        <v/>
      </c>
      <c r="L153" t="n">
        <v>191</v>
      </c>
      <c r="M153" t="n">
        <v>53</v>
      </c>
      <c r="N153" t="inlineStr">
        <is>
          <t>19/10/2026</t>
        </is>
      </c>
      <c r="O153" t="inlineStr">
        <is>
          <t>25/10/2026</t>
        </is>
      </c>
    </row>
    <row r="154">
      <c r="A154" t="n">
        <v>153</v>
      </c>
      <c r="B154" t="inlineStr">
        <is>
          <t>SKU-1153</t>
        </is>
      </c>
      <c r="C154" t="inlineStr">
        <is>
          <t>Caneta Esferográfica Azul (Caixa c/ 50)</t>
        </is>
      </c>
      <c r="D154" t="inlineStr">
        <is>
          <t>Escritório Logístico</t>
        </is>
      </c>
      <c r="E154" t="inlineStr">
        <is>
          <t>Rua B-15-03-B</t>
        </is>
      </c>
      <c r="F154" t="n">
        <v>203</v>
      </c>
      <c r="G154" t="inlineStr">
        <is>
          <t>CX</t>
        </is>
      </c>
      <c r="H154" t="n">
        <v>36.62</v>
      </c>
      <c r="I154">
        <f>F154*H154</f>
        <v/>
      </c>
      <c r="J154" t="n">
        <v>30</v>
      </c>
      <c r="K154">
        <f>IF(F154&lt;=J154,"CRÍTICO","NORMAL")</f>
        <v/>
      </c>
      <c r="L154" t="n">
        <v>124</v>
      </c>
      <c r="M154" t="n">
        <v>11</v>
      </c>
      <c r="N154" t="inlineStr">
        <is>
          <t>11/10/2026</t>
        </is>
      </c>
      <c r="O154" t="inlineStr">
        <is>
          <t>14/10/2026</t>
        </is>
      </c>
    </row>
    <row r="155">
      <c r="A155" t="n">
        <v>154</v>
      </c>
      <c r="B155" t="inlineStr">
        <is>
          <t>SKU-1154</t>
        </is>
      </c>
      <c r="C155" t="inlineStr">
        <is>
          <t>Bloco de Notas Autoadesivas 76x76mm</t>
        </is>
      </c>
      <c r="D155" t="inlineStr">
        <is>
          <t>Escritório Logístico</t>
        </is>
      </c>
      <c r="E155" t="inlineStr">
        <is>
          <t>Rua E-15-03-A</t>
        </is>
      </c>
      <c r="F155" t="n">
        <v>259</v>
      </c>
      <c r="G155" t="inlineStr">
        <is>
          <t>PCT</t>
        </is>
      </c>
      <c r="H155" t="n">
        <v>14.49</v>
      </c>
      <c r="I155">
        <f>F155*H155</f>
        <v/>
      </c>
      <c r="J155" t="n">
        <v>80</v>
      </c>
      <c r="K155">
        <f>IF(F155&lt;=J155,"CRÍTICO","NORMAL")</f>
        <v/>
      </c>
      <c r="L155" t="n">
        <v>173</v>
      </c>
      <c r="M155" t="n">
        <v>58</v>
      </c>
      <c r="N155" t="inlineStr">
        <is>
          <t>22/10/2026</t>
        </is>
      </c>
      <c r="O155" t="inlineStr">
        <is>
          <t>22/10/2026</t>
        </is>
      </c>
    </row>
    <row r="156">
      <c r="A156" t="n">
        <v>155</v>
      </c>
      <c r="B156" t="inlineStr">
        <is>
          <t>SKU-1155</t>
        </is>
      </c>
      <c r="C156" t="inlineStr">
        <is>
          <t>Pasta Suspensao Kraft c/ Haste (Cx 50)</t>
        </is>
      </c>
      <c r="D156" t="inlineStr">
        <is>
          <t>Escritório Logístico</t>
        </is>
      </c>
      <c r="E156" t="inlineStr">
        <is>
          <t>Rua D-13-05-B</t>
        </is>
      </c>
      <c r="F156" t="n">
        <v>5</v>
      </c>
      <c r="G156" t="inlineStr">
        <is>
          <t>CX</t>
        </is>
      </c>
      <c r="H156" t="n">
        <v>107.75</v>
      </c>
      <c r="I156">
        <f>F156*H156</f>
        <v/>
      </c>
      <c r="J156" t="n">
        <v>15</v>
      </c>
      <c r="K156">
        <f>IF(F156&lt;=J156,"CRÍTICO","NORMAL")</f>
        <v/>
      </c>
      <c r="L156" t="n">
        <v>49</v>
      </c>
      <c r="M156" t="n">
        <v>141</v>
      </c>
      <c r="N156" t="inlineStr">
        <is>
          <t>10/10/2026</t>
        </is>
      </c>
      <c r="O156" t="inlineStr">
        <is>
          <t>20/10/2026</t>
        </is>
      </c>
    </row>
    <row r="157">
      <c r="A157" t="n">
        <v>156</v>
      </c>
      <c r="B157" t="inlineStr">
        <is>
          <t>SKU-1156</t>
        </is>
      </c>
      <c r="C157" t="inlineStr">
        <is>
          <t>Calculadora de Mesa 12 Digitos Grande</t>
        </is>
      </c>
      <c r="D157" t="inlineStr">
        <is>
          <t>Escritório Logístico</t>
        </is>
      </c>
      <c r="E157" t="inlineStr">
        <is>
          <t>Rua E-01-04-B</t>
        </is>
      </c>
      <c r="F157" t="n">
        <v>5</v>
      </c>
      <c r="G157" t="inlineStr">
        <is>
          <t>UN</t>
        </is>
      </c>
      <c r="H157" t="n">
        <v>42.28</v>
      </c>
      <c r="I157">
        <f>F157*H157</f>
        <v/>
      </c>
      <c r="J157" t="n">
        <v>20</v>
      </c>
      <c r="K157">
        <f>IF(F157&lt;=J157,"CRÍTICO","NORMAL")</f>
        <v/>
      </c>
      <c r="L157" t="n">
        <v>147</v>
      </c>
      <c r="M157" t="n">
        <v>174</v>
      </c>
      <c r="N157" t="inlineStr">
        <is>
          <t>09/10/2026</t>
        </is>
      </c>
      <c r="O157" t="inlineStr">
        <is>
          <t>18/10/2026</t>
        </is>
      </c>
    </row>
    <row r="158">
      <c r="A158" t="n">
        <v>157</v>
      </c>
      <c r="B158" t="inlineStr">
        <is>
          <t>SKU-1157</t>
        </is>
      </c>
      <c r="C158" t="inlineStr">
        <is>
          <t>Organizador de Documentos 3 Divisórias</t>
        </is>
      </c>
      <c r="D158" t="inlineStr">
        <is>
          <t>Escritório Logístico</t>
        </is>
      </c>
      <c r="E158" t="inlineStr">
        <is>
          <t>Rua A-20-04-B</t>
        </is>
      </c>
      <c r="F158" t="n">
        <v>5</v>
      </c>
      <c r="G158" t="inlineStr">
        <is>
          <t>UN</t>
        </is>
      </c>
      <c r="H158" t="n">
        <v>38.41</v>
      </c>
      <c r="I158">
        <f>F158*H158</f>
        <v/>
      </c>
      <c r="J158" t="n">
        <v>25</v>
      </c>
      <c r="K158">
        <f>IF(F158&lt;=J158,"CRÍTICO","NORMAL")</f>
        <v/>
      </c>
      <c r="L158" t="n">
        <v>44</v>
      </c>
      <c r="M158" t="n">
        <v>66</v>
      </c>
      <c r="N158" t="inlineStr">
        <is>
          <t>03/10/2026</t>
        </is>
      </c>
      <c r="O158" t="inlineStr">
        <is>
          <t>13/10/2026</t>
        </is>
      </c>
    </row>
    <row r="159">
      <c r="A159" t="n">
        <v>158</v>
      </c>
      <c r="B159" t="inlineStr">
        <is>
          <t>SKU-1158</t>
        </is>
      </c>
      <c r="C159" t="inlineStr">
        <is>
          <t>Marcador de Texto Amarelo (Caixa c/ 12)</t>
        </is>
      </c>
      <c r="D159" t="inlineStr">
        <is>
          <t>Escritório Logístico</t>
        </is>
      </c>
      <c r="E159" t="inlineStr">
        <is>
          <t>Rua D-21-02-B</t>
        </is>
      </c>
      <c r="F159" t="n">
        <v>79</v>
      </c>
      <c r="G159" t="inlineStr">
        <is>
          <t>CX</t>
        </is>
      </c>
      <c r="H159" t="n">
        <v>28.72</v>
      </c>
      <c r="I159">
        <f>F159*H159</f>
        <v/>
      </c>
      <c r="J159" t="n">
        <v>30</v>
      </c>
      <c r="K159">
        <f>IF(F159&lt;=J159,"CRÍTICO","NORMAL")</f>
        <v/>
      </c>
      <c r="L159" t="n">
        <v>34</v>
      </c>
      <c r="M159" t="n">
        <v>45</v>
      </c>
      <c r="N159" t="inlineStr">
        <is>
          <t>25/10/2026</t>
        </is>
      </c>
      <c r="O159" t="inlineStr">
        <is>
          <t>25/10/2026</t>
        </is>
      </c>
    </row>
    <row r="160">
      <c r="A160" t="n">
        <v>159</v>
      </c>
      <c r="B160" t="inlineStr">
        <is>
          <t>SKU-1159</t>
        </is>
      </c>
      <c r="C160" t="inlineStr">
        <is>
          <t>Carimbo Autoentintado 'CONFERIDO'</t>
        </is>
      </c>
      <c r="D160" t="inlineStr">
        <is>
          <t>Escritório Logístico</t>
        </is>
      </c>
      <c r="E160" t="inlineStr">
        <is>
          <t>Rua C-21-01-A</t>
        </is>
      </c>
      <c r="F160" t="n">
        <v>5</v>
      </c>
      <c r="G160" t="inlineStr">
        <is>
          <t>UN</t>
        </is>
      </c>
      <c r="H160" t="n">
        <v>46.3</v>
      </c>
      <c r="I160">
        <f>F160*H160</f>
        <v/>
      </c>
      <c r="J160" t="n">
        <v>15</v>
      </c>
      <c r="K160">
        <f>IF(F160&lt;=J160,"CRÍTICO","NORMAL")</f>
        <v/>
      </c>
      <c r="L160" t="n">
        <v>78</v>
      </c>
      <c r="M160" t="n">
        <v>105</v>
      </c>
      <c r="N160" t="inlineStr">
        <is>
          <t>05/10/2026</t>
        </is>
      </c>
      <c r="O160" t="inlineStr">
        <is>
          <t>14/10/2026</t>
        </is>
      </c>
    </row>
    <row r="161">
      <c r="A161" t="n">
        <v>160</v>
      </c>
      <c r="B161" t="inlineStr">
        <is>
          <t>SKU-1160</t>
        </is>
      </c>
      <c r="C161" t="inlineStr">
        <is>
          <t>Extrator de Grampo Tipo Espátula Metal</t>
        </is>
      </c>
      <c r="D161" t="inlineStr">
        <is>
          <t>Escritório Logístico</t>
        </is>
      </c>
      <c r="E161" t="inlineStr">
        <is>
          <t>Rua F-24-02-A</t>
        </is>
      </c>
      <c r="F161" t="n">
        <v>5</v>
      </c>
      <c r="G161" t="inlineStr">
        <is>
          <t>UN</t>
        </is>
      </c>
      <c r="H161" t="n">
        <v>6.39</v>
      </c>
      <c r="I161">
        <f>F161*H161</f>
        <v/>
      </c>
      <c r="J161" t="n">
        <v>50</v>
      </c>
      <c r="K161">
        <f>IF(F161&lt;=J161,"CRÍTICO","NORMAL")</f>
        <v/>
      </c>
      <c r="L161" t="n">
        <v>20</v>
      </c>
      <c r="M161" t="n">
        <v>98</v>
      </c>
      <c r="N161" t="inlineStr">
        <is>
          <t>08/10/2026</t>
        </is>
      </c>
      <c r="O161" t="inlineStr">
        <is>
          <t>12/10/2026</t>
        </is>
      </c>
    </row>
    <row r="162">
      <c r="A162" t="n">
        <v>161</v>
      </c>
      <c r="B162" t="inlineStr">
        <is>
          <t>SKU-1161</t>
        </is>
      </c>
      <c r="C162" t="inlineStr">
        <is>
          <t>Roda de Carga de Poliuretano p/ Paleteira</t>
        </is>
      </c>
      <c r="D162" t="inlineStr">
        <is>
          <t>Peças de Empilhadeira e Paleteira</t>
        </is>
      </c>
      <c r="E162" t="inlineStr">
        <is>
          <t>Rua C-07-02-B</t>
        </is>
      </c>
      <c r="F162" t="n">
        <v>5</v>
      </c>
      <c r="G162" t="inlineStr">
        <is>
          <t>UN</t>
        </is>
      </c>
      <c r="H162" t="n">
        <v>85.02</v>
      </c>
      <c r="I162">
        <f>F162*H162</f>
        <v/>
      </c>
      <c r="J162" t="n">
        <v>30</v>
      </c>
      <c r="K162">
        <f>IF(F162&lt;=J162,"CRÍTICO","NORMAL")</f>
        <v/>
      </c>
      <c r="L162" t="n">
        <v>55</v>
      </c>
      <c r="M162" t="n">
        <v>151</v>
      </c>
      <c r="N162" t="inlineStr">
        <is>
          <t>11/10/2026</t>
        </is>
      </c>
      <c r="O162" t="inlineStr">
        <is>
          <t>24/10/2026</t>
        </is>
      </c>
    </row>
    <row r="163">
      <c r="A163" t="n">
        <v>162</v>
      </c>
      <c r="B163" t="inlineStr">
        <is>
          <t>SKU-1162</t>
        </is>
      </c>
      <c r="C163" t="inlineStr">
        <is>
          <t>Roda Direcional de Nylon 200x50mm</t>
        </is>
      </c>
      <c r="D163" t="inlineStr">
        <is>
          <t>Peças de Empilhadeira e Paleteira</t>
        </is>
      </c>
      <c r="E163" t="inlineStr">
        <is>
          <t>Rua C-09-04-B</t>
        </is>
      </c>
      <c r="F163" t="n">
        <v>179</v>
      </c>
      <c r="G163" t="inlineStr">
        <is>
          <t>UN</t>
        </is>
      </c>
      <c r="H163" t="n">
        <v>98.52</v>
      </c>
      <c r="I163">
        <f>F163*H163</f>
        <v/>
      </c>
      <c r="J163" t="n">
        <v>20</v>
      </c>
      <c r="K163">
        <f>IF(F163&lt;=J163,"CRÍTICO","NORMAL")</f>
        <v/>
      </c>
      <c r="L163" t="n">
        <v>148</v>
      </c>
      <c r="M163" t="n">
        <v>29</v>
      </c>
      <c r="N163" t="inlineStr">
        <is>
          <t>19/10/2026</t>
        </is>
      </c>
      <c r="O163" t="inlineStr">
        <is>
          <t>27/10/2026</t>
        </is>
      </c>
    </row>
    <row r="164">
      <c r="A164" t="n">
        <v>163</v>
      </c>
      <c r="B164" t="inlineStr">
        <is>
          <t>SKU-1163</t>
        </is>
      </c>
      <c r="C164" t="inlineStr">
        <is>
          <t>Reparo de Vedação Hidráulica Paleteira Manual</t>
        </is>
      </c>
      <c r="D164" t="inlineStr">
        <is>
          <t>Peças de Empilhadeira e Paleteira</t>
        </is>
      </c>
      <c r="E164" t="inlineStr">
        <is>
          <t>Rua H-03-02-A</t>
        </is>
      </c>
      <c r="F164" t="n">
        <v>118</v>
      </c>
      <c r="G164" t="inlineStr">
        <is>
          <t>JG</t>
        </is>
      </c>
      <c r="H164" t="n">
        <v>46.01</v>
      </c>
      <c r="I164">
        <f>F164*H164</f>
        <v/>
      </c>
      <c r="J164" t="n">
        <v>25</v>
      </c>
      <c r="K164">
        <f>IF(F164&lt;=J164,"CRÍTICO","NORMAL")</f>
        <v/>
      </c>
      <c r="L164" t="n">
        <v>88</v>
      </c>
      <c r="M164" t="n">
        <v>45</v>
      </c>
      <c r="N164" t="inlineStr">
        <is>
          <t>25/10/2026</t>
        </is>
      </c>
      <c r="O164" t="inlineStr">
        <is>
          <t>28/10/2026</t>
        </is>
      </c>
    </row>
    <row r="165">
      <c r="A165" t="n">
        <v>164</v>
      </c>
      <c r="B165" t="inlineStr">
        <is>
          <t>SKU-1164</t>
        </is>
      </c>
      <c r="C165" t="inlineStr">
        <is>
          <t>Garfo para Empilhadeira Classe 2A 1100mm</t>
        </is>
      </c>
      <c r="D165" t="inlineStr">
        <is>
          <t>Peças de Empilhadeira e Paleteira</t>
        </is>
      </c>
      <c r="E165" t="inlineStr">
        <is>
          <t>Rua F-03-04-A</t>
        </is>
      </c>
      <c r="F165" t="n">
        <v>10</v>
      </c>
      <c r="G165" t="inlineStr">
        <is>
          <t>PAR</t>
        </is>
      </c>
      <c r="H165" t="n">
        <v>1455.3</v>
      </c>
      <c r="I165">
        <f>F165*H165</f>
        <v/>
      </c>
      <c r="J165" t="n">
        <v>4</v>
      </c>
      <c r="K165">
        <f>IF(F165&lt;=J165,"CRÍTICO","NORMAL")</f>
        <v/>
      </c>
      <c r="L165" t="n">
        <v>84</v>
      </c>
      <c r="M165" t="n">
        <v>78</v>
      </c>
      <c r="N165" t="inlineStr">
        <is>
          <t>15/10/2026</t>
        </is>
      </c>
      <c r="O165" t="inlineStr">
        <is>
          <t>23/10/2026</t>
        </is>
      </c>
    </row>
    <row r="166">
      <c r="A166" t="n">
        <v>165</v>
      </c>
      <c r="B166" t="inlineStr">
        <is>
          <t>SKU-1165</t>
        </is>
      </c>
      <c r="C166" t="inlineStr">
        <is>
          <t>Giroflex Lâmpada Âmbar Bivolt Empilhadeira</t>
        </is>
      </c>
      <c r="D166" t="inlineStr">
        <is>
          <t>Peças de Empilhadeira e Paleteira</t>
        </is>
      </c>
      <c r="E166" t="inlineStr">
        <is>
          <t>Rua F-22-03-B</t>
        </is>
      </c>
      <c r="F166" t="n">
        <v>39</v>
      </c>
      <c r="G166" t="inlineStr">
        <is>
          <t>UN</t>
        </is>
      </c>
      <c r="H166" t="n">
        <v>114.84</v>
      </c>
      <c r="I166">
        <f>F166*H166</f>
        <v/>
      </c>
      <c r="J166" t="n">
        <v>10</v>
      </c>
      <c r="K166">
        <f>IF(F166&lt;=J166,"CRÍTICO","NORMAL")</f>
        <v/>
      </c>
      <c r="L166" t="n">
        <v>133</v>
      </c>
      <c r="M166" t="n">
        <v>124</v>
      </c>
      <c r="N166" t="inlineStr">
        <is>
          <t>11/10/2026</t>
        </is>
      </c>
      <c r="O166" t="inlineStr">
        <is>
          <t>20/10/2026</t>
        </is>
      </c>
    </row>
    <row r="167">
      <c r="A167" t="n">
        <v>166</v>
      </c>
      <c r="B167" t="inlineStr">
        <is>
          <t>SKU-1166</t>
        </is>
      </c>
      <c r="C167" t="inlineStr">
        <is>
          <t>Filtro de Óleo do Motor Empilhadeira Combustion</t>
        </is>
      </c>
      <c r="D167" t="inlineStr">
        <is>
          <t>Peças de Empilhadeira e Paleteira</t>
        </is>
      </c>
      <c r="E167" t="inlineStr">
        <is>
          <t>Rua D-16-01-B</t>
        </is>
      </c>
      <c r="F167" t="n">
        <v>120</v>
      </c>
      <c r="G167" t="inlineStr">
        <is>
          <t>UN</t>
        </is>
      </c>
      <c r="H167" t="n">
        <v>46.66</v>
      </c>
      <c r="I167">
        <f>F167*H167</f>
        <v/>
      </c>
      <c r="J167" t="n">
        <v>20</v>
      </c>
      <c r="K167">
        <f>IF(F167&lt;=J167,"CRÍTICO","NORMAL")</f>
        <v/>
      </c>
      <c r="L167" t="n">
        <v>88</v>
      </c>
      <c r="M167" t="n">
        <v>18</v>
      </c>
      <c r="N167" t="inlineStr">
        <is>
          <t>17/10/2026</t>
        </is>
      </c>
      <c r="O167" t="inlineStr">
        <is>
          <t>24/10/2026</t>
        </is>
      </c>
    </row>
    <row r="168">
      <c r="A168" t="n">
        <v>167</v>
      </c>
      <c r="B168" t="inlineStr">
        <is>
          <t>SKU-1167</t>
        </is>
      </c>
      <c r="C168" t="inlineStr">
        <is>
          <t>Filtro de Ar Principal Empilhadeira</t>
        </is>
      </c>
      <c r="D168" t="inlineStr">
        <is>
          <t>Peças de Empilhadeira e Paleteira</t>
        </is>
      </c>
      <c r="E168" t="inlineStr">
        <is>
          <t>Rua H-23-03-B</t>
        </is>
      </c>
      <c r="F168" t="n">
        <v>74</v>
      </c>
      <c r="G168" t="inlineStr">
        <is>
          <t>UN</t>
        </is>
      </c>
      <c r="H168" t="n">
        <v>72.3</v>
      </c>
      <c r="I168">
        <f>F168*H168</f>
        <v/>
      </c>
      <c r="J168" t="n">
        <v>15</v>
      </c>
      <c r="K168">
        <f>IF(F168&lt;=J168,"CRÍTICO","NORMAL")</f>
        <v/>
      </c>
      <c r="L168" t="n">
        <v>143</v>
      </c>
      <c r="M168" t="n">
        <v>75</v>
      </c>
      <c r="N168" t="inlineStr">
        <is>
          <t>15/10/2026</t>
        </is>
      </c>
      <c r="O168" t="inlineStr">
        <is>
          <t>28/10/2026</t>
        </is>
      </c>
    </row>
    <row r="169">
      <c r="A169" t="n">
        <v>168</v>
      </c>
      <c r="B169" t="inlineStr">
        <is>
          <t>SKU-1168</t>
        </is>
      </c>
      <c r="C169" t="inlineStr">
        <is>
          <t>Correia do Alternador Empilhadeira</t>
        </is>
      </c>
      <c r="D169" t="inlineStr">
        <is>
          <t>Peças de Empilhadeira e Paleteira</t>
        </is>
      </c>
      <c r="E169" t="inlineStr">
        <is>
          <t>Rua E-16-01-A</t>
        </is>
      </c>
      <c r="F169" t="n">
        <v>5</v>
      </c>
      <c r="G169" t="inlineStr">
        <is>
          <t>UN</t>
        </is>
      </c>
      <c r="H169" t="n">
        <v>39.47</v>
      </c>
      <c r="I169">
        <f>F169*H169</f>
        <v/>
      </c>
      <c r="J169" t="n">
        <v>25</v>
      </c>
      <c r="K169">
        <f>IF(F169&lt;=J169,"CRÍTICO","NORMAL")</f>
        <v/>
      </c>
      <c r="L169" t="n">
        <v>19</v>
      </c>
      <c r="M169" t="n">
        <v>31</v>
      </c>
      <c r="N169" t="inlineStr">
        <is>
          <t>08/10/2026</t>
        </is>
      </c>
      <c r="O169" t="inlineStr">
        <is>
          <t>13/10/2026</t>
        </is>
      </c>
    </row>
    <row r="170">
      <c r="A170" t="n">
        <v>169</v>
      </c>
      <c r="B170" t="inlineStr">
        <is>
          <t>SKU-1169</t>
        </is>
      </c>
      <c r="C170" t="inlineStr">
        <is>
          <t>Banco Ergonomico com Cinto para Empilhadeira</t>
        </is>
      </c>
      <c r="D170" t="inlineStr">
        <is>
          <t>Peças de Empilhadeira e Paleteira</t>
        </is>
      </c>
      <c r="E170" t="inlineStr">
        <is>
          <t>Rua G-15-03-B</t>
        </is>
      </c>
      <c r="F170" t="n">
        <v>29</v>
      </c>
      <c r="G170" t="inlineStr">
        <is>
          <t>UN</t>
        </is>
      </c>
      <c r="H170" t="n">
        <v>696.47</v>
      </c>
      <c r="I170">
        <f>F170*H170</f>
        <v/>
      </c>
      <c r="J170" t="n">
        <v>3</v>
      </c>
      <c r="K170">
        <f>IF(F170&lt;=J170,"CRÍTICO","NORMAL")</f>
        <v/>
      </c>
      <c r="L170" t="n">
        <v>33</v>
      </c>
      <c r="M170" t="n">
        <v>11</v>
      </c>
      <c r="N170" t="inlineStr">
        <is>
          <t>07/10/2026</t>
        </is>
      </c>
      <c r="O170" t="inlineStr">
        <is>
          <t>20/10/2026</t>
        </is>
      </c>
    </row>
    <row r="171">
      <c r="A171" t="n">
        <v>170</v>
      </c>
      <c r="B171" t="inlineStr">
        <is>
          <t>SKU-1170</t>
        </is>
      </c>
      <c r="C171" t="inlineStr">
        <is>
          <t>Chave de Ignição Universal Empilhadeira</t>
        </is>
      </c>
      <c r="D171" t="inlineStr">
        <is>
          <t>Peças de Empilhadeira e Paleteira</t>
        </is>
      </c>
      <c r="E171" t="inlineStr">
        <is>
          <t>Rua G-21-01-B</t>
        </is>
      </c>
      <c r="F171" t="n">
        <v>157</v>
      </c>
      <c r="G171" t="inlineStr">
        <is>
          <t>UN</t>
        </is>
      </c>
      <c r="H171" t="n">
        <v>54.49</v>
      </c>
      <c r="I171">
        <f>F171*H171</f>
        <v/>
      </c>
      <c r="J171" t="n">
        <v>12</v>
      </c>
      <c r="K171">
        <f>IF(F171&lt;=J171,"CRÍTICO","NORMAL")</f>
        <v/>
      </c>
      <c r="L171" t="n">
        <v>154</v>
      </c>
      <c r="M171" t="n">
        <v>27</v>
      </c>
      <c r="N171" t="inlineStr">
        <is>
          <t>10/10/2026</t>
        </is>
      </c>
      <c r="O171" t="inlineStr">
        <is>
          <t>22/10/2026</t>
        </is>
      </c>
    </row>
    <row r="172">
      <c r="A172" t="n">
        <v>171</v>
      </c>
      <c r="B172" t="inlineStr">
        <is>
          <t>SKU-1171</t>
        </is>
      </c>
      <c r="C172" t="inlineStr">
        <is>
          <t>Luminária High Bay LED 150W 6000K Industrial</t>
        </is>
      </c>
      <c r="D172" t="inlineStr">
        <is>
          <t>Iluminação Industrial</t>
        </is>
      </c>
      <c r="E172" t="inlineStr">
        <is>
          <t>Rua A-23-03-A</t>
        </is>
      </c>
      <c r="F172" t="n">
        <v>5</v>
      </c>
      <c r="G172" t="inlineStr">
        <is>
          <t>UN</t>
        </is>
      </c>
      <c r="H172" t="n">
        <v>278.45</v>
      </c>
      <c r="I172">
        <f>F172*H172</f>
        <v/>
      </c>
      <c r="J172" t="n">
        <v>30</v>
      </c>
      <c r="K172">
        <f>IF(F172&lt;=J172,"CRÍTICO","NORMAL")</f>
        <v/>
      </c>
      <c r="L172" t="n">
        <v>43</v>
      </c>
      <c r="M172" t="n">
        <v>115</v>
      </c>
      <c r="N172" t="inlineStr">
        <is>
          <t>07/10/2026</t>
        </is>
      </c>
      <c r="O172" t="inlineStr">
        <is>
          <t>08/10/2026</t>
        </is>
      </c>
    </row>
    <row r="173">
      <c r="A173" t="n">
        <v>172</v>
      </c>
      <c r="B173" t="inlineStr">
        <is>
          <t>SKU-1172</t>
        </is>
      </c>
      <c r="C173" t="inlineStr">
        <is>
          <t>Refletor LED 100W IP66 Prova D'Água External</t>
        </is>
      </c>
      <c r="D173" t="inlineStr">
        <is>
          <t>Iluminação Industrial</t>
        </is>
      </c>
      <c r="E173" t="inlineStr">
        <is>
          <t>Rua F-04-03-B</t>
        </is>
      </c>
      <c r="F173" t="n">
        <v>82</v>
      </c>
      <c r="G173" t="inlineStr">
        <is>
          <t>UN</t>
        </is>
      </c>
      <c r="H173" t="n">
        <v>133.62</v>
      </c>
      <c r="I173">
        <f>F173*H173</f>
        <v/>
      </c>
      <c r="J173" t="n">
        <v>20</v>
      </c>
      <c r="K173">
        <f>IF(F173&lt;=J173,"CRÍTICO","NORMAL")</f>
        <v/>
      </c>
      <c r="L173" t="n">
        <v>111</v>
      </c>
      <c r="M173" t="n">
        <v>37</v>
      </c>
      <c r="N173" t="inlineStr">
        <is>
          <t>17/10/2026</t>
        </is>
      </c>
      <c r="O173" t="inlineStr">
        <is>
          <t>23/10/2026</t>
        </is>
      </c>
    </row>
    <row r="174">
      <c r="A174" t="n">
        <v>173</v>
      </c>
      <c r="B174" t="inlineStr">
        <is>
          <t>SKU-1173</t>
        </is>
      </c>
      <c r="C174" t="inlineStr">
        <is>
          <t>Lâmpada Mista 250W E40 Alta Potência</t>
        </is>
      </c>
      <c r="D174" t="inlineStr">
        <is>
          <t>Iluminação Industrial</t>
        </is>
      </c>
      <c r="E174" t="inlineStr">
        <is>
          <t>Rua B-15-01-A</t>
        </is>
      </c>
      <c r="F174" t="n">
        <v>52</v>
      </c>
      <c r="G174" t="inlineStr">
        <is>
          <t>UN</t>
        </is>
      </c>
      <c r="H174" t="n">
        <v>42.59</v>
      </c>
      <c r="I174">
        <f>F174*H174</f>
        <v/>
      </c>
      <c r="J174" t="n">
        <v>15</v>
      </c>
      <c r="K174">
        <f>IF(F174&lt;=J174,"CRÍTICO","NORMAL")</f>
        <v/>
      </c>
      <c r="L174" t="n">
        <v>46</v>
      </c>
      <c r="M174" t="n">
        <v>39</v>
      </c>
      <c r="N174" t="inlineStr">
        <is>
          <t>02/10/2026</t>
        </is>
      </c>
      <c r="O174" t="inlineStr">
        <is>
          <t>18/10/2026</t>
        </is>
      </c>
    </row>
    <row r="175">
      <c r="A175" t="n">
        <v>174</v>
      </c>
      <c r="B175" t="inlineStr">
        <is>
          <t>SKU-1174</t>
        </is>
      </c>
      <c r="C175" t="inlineStr">
        <is>
          <t>Luminária de Emergência LED 30 Pontos</t>
        </is>
      </c>
      <c r="D175" t="inlineStr">
        <is>
          <t>Iluminação Industrial</t>
        </is>
      </c>
      <c r="E175" t="inlineStr">
        <is>
          <t>Rua A-11-02-A</t>
        </is>
      </c>
      <c r="F175" t="n">
        <v>92</v>
      </c>
      <c r="G175" t="inlineStr">
        <is>
          <t>UN</t>
        </is>
      </c>
      <c r="H175" t="n">
        <v>36.88</v>
      </c>
      <c r="I175">
        <f>F175*H175</f>
        <v/>
      </c>
      <c r="J175" t="n">
        <v>40</v>
      </c>
      <c r="K175">
        <f>IF(F175&lt;=J175,"CRÍTICO","NORMAL")</f>
        <v/>
      </c>
      <c r="L175" t="n">
        <v>163</v>
      </c>
      <c r="M175" t="n">
        <v>171</v>
      </c>
      <c r="N175" t="inlineStr">
        <is>
          <t>07/10/2026</t>
        </is>
      </c>
      <c r="O175" t="inlineStr">
        <is>
          <t>21/10/2026</t>
        </is>
      </c>
    </row>
    <row r="176">
      <c r="A176" t="n">
        <v>175</v>
      </c>
      <c r="B176" t="inlineStr">
        <is>
          <t>SKU-1175</t>
        </is>
      </c>
      <c r="C176" t="inlineStr">
        <is>
          <t>Lâmpada LED Bulbo Alta Potência 50W E27</t>
        </is>
      </c>
      <c r="D176" t="inlineStr">
        <is>
          <t>Iluminação Industrial</t>
        </is>
      </c>
      <c r="E176" t="inlineStr">
        <is>
          <t>Rua D-19-02-A</t>
        </is>
      </c>
      <c r="F176" t="n">
        <v>95</v>
      </c>
      <c r="G176" t="inlineStr">
        <is>
          <t>UN</t>
        </is>
      </c>
      <c r="H176" t="n">
        <v>46.23</v>
      </c>
      <c r="I176">
        <f>F176*H176</f>
        <v/>
      </c>
      <c r="J176" t="n">
        <v>50</v>
      </c>
      <c r="K176">
        <f>IF(F176&lt;=J176,"CRÍTICO","NORMAL")</f>
        <v/>
      </c>
      <c r="L176" t="n">
        <v>105</v>
      </c>
      <c r="M176" t="n">
        <v>70</v>
      </c>
      <c r="N176" t="inlineStr">
        <is>
          <t>06/10/2026</t>
        </is>
      </c>
      <c r="O176" t="inlineStr">
        <is>
          <t>06/10/2026</t>
        </is>
      </c>
    </row>
    <row r="177">
      <c r="A177" t="n">
        <v>176</v>
      </c>
      <c r="B177" t="inlineStr">
        <is>
          <t>SKU-1176</t>
        </is>
      </c>
      <c r="C177" t="inlineStr">
        <is>
          <t>Driver para Luminária LED High Bay 150W</t>
        </is>
      </c>
      <c r="D177" t="inlineStr">
        <is>
          <t>Iluminação Industrial</t>
        </is>
      </c>
      <c r="E177" t="inlineStr">
        <is>
          <t>Rua A-09-02-A</t>
        </is>
      </c>
      <c r="F177" t="n">
        <v>66</v>
      </c>
      <c r="G177" t="inlineStr">
        <is>
          <t>UN</t>
        </is>
      </c>
      <c r="H177" t="n">
        <v>92.63</v>
      </c>
      <c r="I177">
        <f>F177*H177</f>
        <v/>
      </c>
      <c r="J177" t="n">
        <v>15</v>
      </c>
      <c r="K177">
        <f>IF(F177&lt;=J177,"CRÍTICO","NORMAL")</f>
        <v/>
      </c>
      <c r="L177" t="n">
        <v>56</v>
      </c>
      <c r="M177" t="n">
        <v>27</v>
      </c>
      <c r="N177" t="inlineStr">
        <is>
          <t>05/10/2026</t>
        </is>
      </c>
      <c r="O177" t="inlineStr">
        <is>
          <t>22/10/2026</t>
        </is>
      </c>
    </row>
    <row r="178">
      <c r="A178" t="n">
        <v>177</v>
      </c>
      <c r="B178" t="inlineStr">
        <is>
          <t>SKU-1177</t>
        </is>
      </c>
      <c r="C178" t="inlineStr">
        <is>
          <t>Sensor Fotocélula Bivolt para Iluminação</t>
        </is>
      </c>
      <c r="D178" t="inlineStr">
        <is>
          <t>Iluminação Industrial</t>
        </is>
      </c>
      <c r="E178" t="inlineStr">
        <is>
          <t>Rua B-22-01-A</t>
        </is>
      </c>
      <c r="F178" t="n">
        <v>5</v>
      </c>
      <c r="G178" t="inlineStr">
        <is>
          <t>UN</t>
        </is>
      </c>
      <c r="H178" t="n">
        <v>27.6</v>
      </c>
      <c r="I178">
        <f>F178*H178</f>
        <v/>
      </c>
      <c r="J178" t="n">
        <v>25</v>
      </c>
      <c r="K178">
        <f>IF(F178&lt;=J178,"CRÍTICO","NORMAL")</f>
        <v/>
      </c>
      <c r="L178" t="n">
        <v>10</v>
      </c>
      <c r="M178" t="n">
        <v>35</v>
      </c>
      <c r="N178" t="inlineStr">
        <is>
          <t>09/10/2026</t>
        </is>
      </c>
      <c r="O178" t="inlineStr">
        <is>
          <t>11/10/2026</t>
        </is>
      </c>
    </row>
    <row r="179">
      <c r="A179" t="n">
        <v>178</v>
      </c>
      <c r="B179" t="inlineStr">
        <is>
          <t>SKU-1178</t>
        </is>
      </c>
      <c r="C179" t="inlineStr">
        <is>
          <t>Luminária Tartaruga Hermética Blindada IP65</t>
        </is>
      </c>
      <c r="D179" t="inlineStr">
        <is>
          <t>Iluminação Industrial</t>
        </is>
      </c>
      <c r="E179" t="inlineStr">
        <is>
          <t>Rua F-01-02-B</t>
        </is>
      </c>
      <c r="F179" t="n">
        <v>18</v>
      </c>
      <c r="G179" t="inlineStr">
        <is>
          <t>UN</t>
        </is>
      </c>
      <c r="H179" t="n">
        <v>50.06</v>
      </c>
      <c r="I179">
        <f>F179*H179</f>
        <v/>
      </c>
      <c r="J179" t="n">
        <v>30</v>
      </c>
      <c r="K179">
        <f>IF(F179&lt;=J179,"CRÍTICO","NORMAL")</f>
        <v/>
      </c>
      <c r="L179" t="n">
        <v>104</v>
      </c>
      <c r="M179" t="n">
        <v>98</v>
      </c>
      <c r="N179" t="inlineStr">
        <is>
          <t>06/10/2026</t>
        </is>
      </c>
      <c r="O179" t="inlineStr">
        <is>
          <t>12/10/2026</t>
        </is>
      </c>
    </row>
    <row r="180">
      <c r="A180" t="n">
        <v>179</v>
      </c>
      <c r="B180" t="inlineStr">
        <is>
          <t>SKU-1179</t>
        </is>
      </c>
      <c r="C180" t="inlineStr">
        <is>
          <t>Soquete Porcelana E40 Reforçado</t>
        </is>
      </c>
      <c r="D180" t="inlineStr">
        <is>
          <t>Iluminação Industrial</t>
        </is>
      </c>
      <c r="E180" t="inlineStr">
        <is>
          <t>Rua B-24-01-B</t>
        </is>
      </c>
      <c r="F180" t="n">
        <v>123</v>
      </c>
      <c r="G180" t="inlineStr">
        <is>
          <t>UN</t>
        </is>
      </c>
      <c r="H180" t="n">
        <v>14.39</v>
      </c>
      <c r="I180">
        <f>F180*H180</f>
        <v/>
      </c>
      <c r="J180" t="n">
        <v>60</v>
      </c>
      <c r="K180">
        <f>IF(F180&lt;=J180,"CRÍTICO","NORMAL")</f>
        <v/>
      </c>
      <c r="L180" t="n">
        <v>144</v>
      </c>
      <c r="M180" t="n">
        <v>129</v>
      </c>
      <c r="N180" t="inlineStr">
        <is>
          <t>02/10/2026</t>
        </is>
      </c>
      <c r="O180" t="inlineStr">
        <is>
          <t>15/10/2026</t>
        </is>
      </c>
    </row>
    <row r="181">
      <c r="A181" t="n">
        <v>180</v>
      </c>
      <c r="B181" t="inlineStr">
        <is>
          <t>SKU-1180</t>
        </is>
      </c>
      <c r="C181" t="inlineStr">
        <is>
          <t>Lâmpada Vapor de Sódio 250W E40</t>
        </is>
      </c>
      <c r="D181" t="inlineStr">
        <is>
          <t>Iluminação Industrial</t>
        </is>
      </c>
      <c r="E181" t="inlineStr">
        <is>
          <t>Rua B-15-05-A</t>
        </is>
      </c>
      <c r="F181" t="n">
        <v>5</v>
      </c>
      <c r="G181" t="inlineStr">
        <is>
          <t>UN</t>
        </is>
      </c>
      <c r="H181" t="n">
        <v>45.81</v>
      </c>
      <c r="I181">
        <f>F181*H181</f>
        <v/>
      </c>
      <c r="J181" t="n">
        <v>10</v>
      </c>
      <c r="K181">
        <f>IF(F181&lt;=J181,"CRÍTICO","NORMAL")</f>
        <v/>
      </c>
      <c r="L181" t="n">
        <v>82</v>
      </c>
      <c r="M181" t="n">
        <v>110</v>
      </c>
      <c r="N181" t="inlineStr">
        <is>
          <t>15/10/2026</t>
        </is>
      </c>
      <c r="O181" t="inlineStr">
        <is>
          <t>21/10/2026</t>
        </is>
      </c>
    </row>
    <row r="182">
      <c r="A182" t="n">
        <v>181</v>
      </c>
      <c r="B182" t="inlineStr">
        <is>
          <t>SKU-1181</t>
        </is>
      </c>
      <c r="C182" t="inlineStr">
        <is>
          <t>Caixa Plástica Fechada Modelo 36 (60x40x18)</t>
        </is>
      </c>
      <c r="D182" t="inlineStr">
        <is>
          <t>Caixas e Organizadores</t>
        </is>
      </c>
      <c r="E182" t="inlineStr">
        <is>
          <t>Rua E-15-01-A</t>
        </is>
      </c>
      <c r="F182" t="n">
        <v>109</v>
      </c>
      <c r="G182" t="inlineStr">
        <is>
          <t>UN</t>
        </is>
      </c>
      <c r="H182" t="n">
        <v>49.67</v>
      </c>
      <c r="I182">
        <f>F182*H182</f>
        <v/>
      </c>
      <c r="J182" t="n">
        <v>80</v>
      </c>
      <c r="K182">
        <f>IF(F182&lt;=J182,"CRÍTICO","NORMAL")</f>
        <v/>
      </c>
      <c r="L182" t="n">
        <v>51</v>
      </c>
      <c r="M182" t="n">
        <v>86</v>
      </c>
      <c r="N182" t="inlineStr">
        <is>
          <t>23/10/2026</t>
        </is>
      </c>
      <c r="O182" t="inlineStr">
        <is>
          <t>27/10/2026</t>
        </is>
      </c>
    </row>
    <row r="183">
      <c r="A183" t="n">
        <v>182</v>
      </c>
      <c r="B183" t="inlineStr">
        <is>
          <t>SKU-1182</t>
        </is>
      </c>
      <c r="C183" t="inlineStr">
        <is>
          <t>Caixa Plástica Vazada HORTIFRUTI 50L</t>
        </is>
      </c>
      <c r="D183" t="inlineStr">
        <is>
          <t>Caixas e Organizadores</t>
        </is>
      </c>
      <c r="E183" t="inlineStr">
        <is>
          <t>Rua B-16-04-A</t>
        </is>
      </c>
      <c r="F183" t="n">
        <v>106</v>
      </c>
      <c r="G183" t="inlineStr">
        <is>
          <t>UN</t>
        </is>
      </c>
      <c r="H183" t="n">
        <v>37.32</v>
      </c>
      <c r="I183">
        <f>F183*H183</f>
        <v/>
      </c>
      <c r="J183" t="n">
        <v>100</v>
      </c>
      <c r="K183">
        <f>IF(F183&lt;=J183,"CRÍTICO","NORMAL")</f>
        <v/>
      </c>
      <c r="L183" t="n">
        <v>121</v>
      </c>
      <c r="M183" t="n">
        <v>55</v>
      </c>
      <c r="N183" t="inlineStr">
        <is>
          <t>01/10/2026</t>
        </is>
      </c>
      <c r="O183" t="inlineStr">
        <is>
          <t>07/10/2026</t>
        </is>
      </c>
    </row>
    <row r="184">
      <c r="A184" t="n">
        <v>183</v>
      </c>
      <c r="B184" t="inlineStr">
        <is>
          <t>SKU-1183</t>
        </is>
      </c>
      <c r="C184" t="inlineStr">
        <is>
          <t>Gaveteiro Bin Plástico Nº 3 (10x12x19cm)</t>
        </is>
      </c>
      <c r="D184" t="inlineStr">
        <is>
          <t>Caixas e Organizadores</t>
        </is>
      </c>
      <c r="E184" t="inlineStr">
        <is>
          <t>Rua B-05-03-B</t>
        </is>
      </c>
      <c r="F184" t="n">
        <v>767</v>
      </c>
      <c r="G184" t="inlineStr">
        <is>
          <t>UN</t>
        </is>
      </c>
      <c r="H184" t="n">
        <v>6.09</v>
      </c>
      <c r="I184">
        <f>F184*H184</f>
        <v/>
      </c>
      <c r="J184" t="n">
        <v>400</v>
      </c>
      <c r="K184">
        <f>IF(F184&lt;=J184,"CRÍTICO","NORMAL")</f>
        <v/>
      </c>
      <c r="L184" t="n">
        <v>141</v>
      </c>
      <c r="M184" t="n">
        <v>94</v>
      </c>
      <c r="N184" t="inlineStr">
        <is>
          <t>24/10/2026</t>
        </is>
      </c>
      <c r="O184" t="inlineStr">
        <is>
          <t>24/10/2026</t>
        </is>
      </c>
    </row>
    <row r="185">
      <c r="A185" t="n">
        <v>184</v>
      </c>
      <c r="B185" t="inlineStr">
        <is>
          <t>SKU-1184</t>
        </is>
      </c>
      <c r="C185" t="inlineStr">
        <is>
          <t>Gaveteiro Bin Plástico Nº 7 (17x22x34cm)</t>
        </is>
      </c>
      <c r="D185" t="inlineStr">
        <is>
          <t>Caixas e Organizadores</t>
        </is>
      </c>
      <c r="E185" t="inlineStr">
        <is>
          <t>Rua E-15-05-B</t>
        </is>
      </c>
      <c r="F185" t="n">
        <v>121</v>
      </c>
      <c r="G185" t="inlineStr">
        <is>
          <t>UN</t>
        </is>
      </c>
      <c r="H185" t="n">
        <v>19.04</v>
      </c>
      <c r="I185">
        <f>F185*H185</f>
        <v/>
      </c>
      <c r="J185" t="n">
        <v>200</v>
      </c>
      <c r="K185">
        <f>IF(F185&lt;=J185,"CRÍTICO","NORMAL")</f>
        <v/>
      </c>
      <c r="L185" t="n">
        <v>167</v>
      </c>
      <c r="M185" t="n">
        <v>126</v>
      </c>
      <c r="N185" t="inlineStr">
        <is>
          <t>10/10/2026</t>
        </is>
      </c>
      <c r="O185" t="inlineStr">
        <is>
          <t>19/10/2026</t>
        </is>
      </c>
    </row>
    <row r="186">
      <c r="A186" t="n">
        <v>185</v>
      </c>
      <c r="B186" t="inlineStr">
        <is>
          <t>SKU-1185</t>
        </is>
      </c>
      <c r="C186" t="inlineStr">
        <is>
          <t>Estante Metálica com 54 Bins Nº 3 Composta</t>
        </is>
      </c>
      <c r="D186" t="inlineStr">
        <is>
          <t>Caixas e Organizadores</t>
        </is>
      </c>
      <c r="E186" t="inlineStr">
        <is>
          <t>Rua D-14-04-A</t>
        </is>
      </c>
      <c r="F186" t="n">
        <v>5</v>
      </c>
      <c r="G186" t="inlineStr">
        <is>
          <t>UN</t>
        </is>
      </c>
      <c r="H186" t="n">
        <v>413.24</v>
      </c>
      <c r="I186">
        <f>F186*H186</f>
        <v/>
      </c>
      <c r="J186" t="n">
        <v>8</v>
      </c>
      <c r="K186">
        <f>IF(F186&lt;=J186,"CRÍTICO","NORMAL")</f>
        <v/>
      </c>
      <c r="L186" t="n">
        <v>54</v>
      </c>
      <c r="M186" t="n">
        <v>102</v>
      </c>
      <c r="N186" t="inlineStr">
        <is>
          <t>18/10/2026</t>
        </is>
      </c>
      <c r="O186" t="inlineStr">
        <is>
          <t>20/10/2026</t>
        </is>
      </c>
    </row>
    <row r="187">
      <c r="A187" t="n">
        <v>186</v>
      </c>
      <c r="B187" t="inlineStr">
        <is>
          <t>SKU-1186</t>
        </is>
      </c>
      <c r="C187" t="inlineStr">
        <is>
          <t>Caixa Organizadora c/ Tampa e Trava 50L</t>
        </is>
      </c>
      <c r="D187" t="inlineStr">
        <is>
          <t>Caixas e Organizadores</t>
        </is>
      </c>
      <c r="E187" t="inlineStr">
        <is>
          <t>Rua G-14-01-B</t>
        </is>
      </c>
      <c r="F187" t="n">
        <v>41</v>
      </c>
      <c r="G187" t="inlineStr">
        <is>
          <t>UN</t>
        </is>
      </c>
      <c r="H187" t="n">
        <v>63.78</v>
      </c>
      <c r="I187">
        <f>F187*H187</f>
        <v/>
      </c>
      <c r="J187" t="n">
        <v>40</v>
      </c>
      <c r="K187">
        <f>IF(F187&lt;=J187,"CRÍTICO","NORMAL")</f>
        <v/>
      </c>
      <c r="L187" t="n">
        <v>19</v>
      </c>
      <c r="M187" t="n">
        <v>50</v>
      </c>
      <c r="N187" t="inlineStr">
        <is>
          <t>20/10/2026</t>
        </is>
      </c>
      <c r="O187" t="inlineStr">
        <is>
          <t>23/10/2026</t>
        </is>
      </c>
    </row>
    <row r="188">
      <c r="A188" t="n">
        <v>187</v>
      </c>
      <c r="B188" t="inlineStr">
        <is>
          <t>SKU-1187</t>
        </is>
      </c>
      <c r="C188" t="inlineStr">
        <is>
          <t>Contentor Plástico Roda 240 Litros c/ Tampa</t>
        </is>
      </c>
      <c r="D188" t="inlineStr">
        <is>
          <t>Caixas e Organizadores</t>
        </is>
      </c>
      <c r="E188" t="inlineStr">
        <is>
          <t>Rua F-05-04-A</t>
        </is>
      </c>
      <c r="F188" t="n">
        <v>5</v>
      </c>
      <c r="G188" t="inlineStr">
        <is>
          <t>UN</t>
        </is>
      </c>
      <c r="H188" t="n">
        <v>299.62</v>
      </c>
      <c r="I188">
        <f>F188*H188</f>
        <v/>
      </c>
      <c r="J188" t="n">
        <v>12</v>
      </c>
      <c r="K188">
        <f>IF(F188&lt;=J188,"CRÍTICO","NORMAL")</f>
        <v/>
      </c>
      <c r="L188" t="n">
        <v>59</v>
      </c>
      <c r="M188" t="n">
        <v>119</v>
      </c>
      <c r="N188" t="inlineStr">
        <is>
          <t>20/10/2026</t>
        </is>
      </c>
      <c r="O188" t="inlineStr">
        <is>
          <t>24/10/2026</t>
        </is>
      </c>
    </row>
    <row r="189">
      <c r="A189" t="n">
        <v>188</v>
      </c>
      <c r="B189" t="inlineStr">
        <is>
          <t>SKU-1188</t>
        </is>
      </c>
      <c r="C189" t="inlineStr">
        <is>
          <t>Bandeja Plástica Organizadora p/ Divisória</t>
        </is>
      </c>
      <c r="D189" t="inlineStr">
        <is>
          <t>Caixas e Organizadores</t>
        </is>
      </c>
      <c r="E189" t="inlineStr">
        <is>
          <t>Rua G-04-03-A</t>
        </is>
      </c>
      <c r="F189" t="n">
        <v>501</v>
      </c>
      <c r="G189" t="inlineStr">
        <is>
          <t>UN</t>
        </is>
      </c>
      <c r="H189" t="n">
        <v>13.38</v>
      </c>
      <c r="I189">
        <f>F189*H189</f>
        <v/>
      </c>
      <c r="J189" t="n">
        <v>150</v>
      </c>
      <c r="K189">
        <f>IF(F189&lt;=J189,"CRÍTICO","NORMAL")</f>
        <v/>
      </c>
      <c r="L189" t="n">
        <v>174</v>
      </c>
      <c r="M189" t="n">
        <v>48</v>
      </c>
      <c r="N189" t="inlineStr">
        <is>
          <t>26/10/2026</t>
        </is>
      </c>
      <c r="O189" t="inlineStr">
        <is>
          <t>26/10/2026</t>
        </is>
      </c>
    </row>
    <row r="190">
      <c r="A190" t="n">
        <v>189</v>
      </c>
      <c r="B190" t="inlineStr">
        <is>
          <t>SKU-1189</t>
        </is>
      </c>
      <c r="C190" t="inlineStr">
        <is>
          <t>Caixa Dourada Térmica EPS Isopor 45 Litros</t>
        </is>
      </c>
      <c r="D190" t="inlineStr">
        <is>
          <t>Caixas e Organizadores</t>
        </is>
      </c>
      <c r="E190" t="inlineStr">
        <is>
          <t>Rua F-22-01-B</t>
        </is>
      </c>
      <c r="F190" t="n">
        <v>72</v>
      </c>
      <c r="G190" t="inlineStr">
        <is>
          <t>UN</t>
        </is>
      </c>
      <c r="H190" t="n">
        <v>33.2</v>
      </c>
      <c r="I190">
        <f>F190*H190</f>
        <v/>
      </c>
      <c r="J190" t="n">
        <v>30</v>
      </c>
      <c r="K190">
        <f>IF(F190&lt;=J190,"CRÍTICO","NORMAL")</f>
        <v/>
      </c>
      <c r="L190" t="n">
        <v>167</v>
      </c>
      <c r="M190" t="n">
        <v>131</v>
      </c>
      <c r="N190" t="inlineStr">
        <is>
          <t>26/10/2026</t>
        </is>
      </c>
      <c r="O190" t="inlineStr">
        <is>
          <t>28/10/2026</t>
        </is>
      </c>
    </row>
    <row r="191">
      <c r="A191" t="n">
        <v>190</v>
      </c>
      <c r="B191" t="inlineStr">
        <is>
          <t>SKU-1190</t>
        </is>
      </c>
      <c r="C191" t="inlineStr">
        <is>
          <t>Palete Box Plástico Fechado 1000 Litros</t>
        </is>
      </c>
      <c r="D191" t="inlineStr">
        <is>
          <t>Caixas e Organizadores</t>
        </is>
      </c>
      <c r="E191" t="inlineStr">
        <is>
          <t>Rua A-10-05-B</t>
        </is>
      </c>
      <c r="F191" t="n">
        <v>97</v>
      </c>
      <c r="G191" t="inlineStr">
        <is>
          <t>UN</t>
        </is>
      </c>
      <c r="H191" t="n">
        <v>1200.45</v>
      </c>
      <c r="I191">
        <f>F191*H191</f>
        <v/>
      </c>
      <c r="J191" t="n">
        <v>5</v>
      </c>
      <c r="K191">
        <f>IF(F191&lt;=J191,"CRÍTICO","NORMAL")</f>
        <v/>
      </c>
      <c r="L191" t="n">
        <v>114</v>
      </c>
      <c r="M191" t="n">
        <v>23</v>
      </c>
      <c r="N191" t="inlineStr">
        <is>
          <t>26/10/2026</t>
        </is>
      </c>
      <c r="O191" t="inlineStr">
        <is>
          <t>26/10/2026</t>
        </is>
      </c>
    </row>
    <row r="192">
      <c r="A192" t="n">
        <v>191</v>
      </c>
      <c r="B192" t="inlineStr">
        <is>
          <t>SKU-1191</t>
        </is>
      </c>
      <c r="C192" t="inlineStr">
        <is>
          <t>Pilha Alcalina AA (Pacote com 4)</t>
        </is>
      </c>
      <c r="D192" t="inlineStr">
        <is>
          <t>Consumáveis Diversos</t>
        </is>
      </c>
      <c r="E192" t="inlineStr">
        <is>
          <t>Rua D-05-04-A</t>
        </is>
      </c>
      <c r="F192" t="n">
        <v>97</v>
      </c>
      <c r="G192" t="inlineStr">
        <is>
          <t>PCT</t>
        </is>
      </c>
      <c r="H192" t="n">
        <v>15.76</v>
      </c>
      <c r="I192">
        <f>F192*H192</f>
        <v/>
      </c>
      <c r="J192" t="n">
        <v>100</v>
      </c>
      <c r="K192">
        <f>IF(F192&lt;=J192,"CRÍTICO","NORMAL")</f>
        <v/>
      </c>
      <c r="L192" t="n">
        <v>168</v>
      </c>
      <c r="M192" t="n">
        <v>111</v>
      </c>
      <c r="N192" t="inlineStr">
        <is>
          <t>02/10/2026</t>
        </is>
      </c>
      <c r="O192" t="inlineStr">
        <is>
          <t>17/10/2026</t>
        </is>
      </c>
    </row>
    <row r="193">
      <c r="A193" t="n">
        <v>192</v>
      </c>
      <c r="B193" t="inlineStr">
        <is>
          <t>SKU-1192</t>
        </is>
      </c>
      <c r="C193" t="inlineStr">
        <is>
          <t>Pilha Alcalina AAA Palito (Pacote com 4)</t>
        </is>
      </c>
      <c r="D193" t="inlineStr">
        <is>
          <t>Consumáveis Diversos</t>
        </is>
      </c>
      <c r="E193" t="inlineStr">
        <is>
          <t>Rua F-04-03-A</t>
        </is>
      </c>
      <c r="F193" t="n">
        <v>178</v>
      </c>
      <c r="G193" t="inlineStr">
        <is>
          <t>PCT</t>
        </is>
      </c>
      <c r="H193" t="n">
        <v>16.55</v>
      </c>
      <c r="I193">
        <f>F193*H193</f>
        <v/>
      </c>
      <c r="J193" t="n">
        <v>100</v>
      </c>
      <c r="K193">
        <f>IF(F193&lt;=J193,"CRÍTICO","NORMAL")</f>
        <v/>
      </c>
      <c r="L193" t="n">
        <v>86</v>
      </c>
      <c r="M193" t="n">
        <v>88</v>
      </c>
      <c r="N193" t="inlineStr">
        <is>
          <t>10/10/2026</t>
        </is>
      </c>
      <c r="O193" t="inlineStr">
        <is>
          <t>23/10/2026</t>
        </is>
      </c>
    </row>
    <row r="194">
      <c r="A194" t="n">
        <v>193</v>
      </c>
      <c r="B194" t="inlineStr">
        <is>
          <t>SKU-1193</t>
        </is>
      </c>
      <c r="C194" t="inlineStr">
        <is>
          <t>Bateria Lithium CR2032 3V (Cartela c/ 5)</t>
        </is>
      </c>
      <c r="D194" t="inlineStr">
        <is>
          <t>Consumáveis Diversos</t>
        </is>
      </c>
      <c r="E194" t="inlineStr">
        <is>
          <t>Rua A-20-03-A</t>
        </is>
      </c>
      <c r="F194" t="n">
        <v>72</v>
      </c>
      <c r="G194" t="inlineStr">
        <is>
          <t>PCT</t>
        </is>
      </c>
      <c r="H194" t="n">
        <v>17.59</v>
      </c>
      <c r="I194">
        <f>F194*H194</f>
        <v/>
      </c>
      <c r="J194" t="n">
        <v>60</v>
      </c>
      <c r="K194">
        <f>IF(F194&lt;=J194,"CRÍTICO","NORMAL")</f>
        <v/>
      </c>
      <c r="L194" t="n">
        <v>141</v>
      </c>
      <c r="M194" t="n">
        <v>111</v>
      </c>
      <c r="N194" t="inlineStr">
        <is>
          <t>18/10/2026</t>
        </is>
      </c>
      <c r="O194" t="inlineStr">
        <is>
          <t>20/10/2026</t>
        </is>
      </c>
    </row>
    <row r="195">
      <c r="A195" t="n">
        <v>194</v>
      </c>
      <c r="B195" t="inlineStr">
        <is>
          <t>SKU-1194</t>
        </is>
      </c>
      <c r="C195" t="inlineStr">
        <is>
          <t>Spray Galvanização a Frio Zincagem 400ml</t>
        </is>
      </c>
      <c r="D195" t="inlineStr">
        <is>
          <t>Consumáveis Diversos</t>
        </is>
      </c>
      <c r="E195" t="inlineStr">
        <is>
          <t>Rua F-12-01-A</t>
        </is>
      </c>
      <c r="F195" t="n">
        <v>91</v>
      </c>
      <c r="G195" t="inlineStr">
        <is>
          <t>UN</t>
        </is>
      </c>
      <c r="H195" t="n">
        <v>58.38</v>
      </c>
      <c r="I195">
        <f>F195*H195</f>
        <v/>
      </c>
      <c r="J195" t="n">
        <v>25</v>
      </c>
      <c r="K195">
        <f>IF(F195&lt;=J195,"CRÍTICO","NORMAL")</f>
        <v/>
      </c>
      <c r="L195" t="n">
        <v>82</v>
      </c>
      <c r="M195" t="n">
        <v>8</v>
      </c>
      <c r="N195" t="inlineStr">
        <is>
          <t>05/10/2026</t>
        </is>
      </c>
      <c r="O195" t="inlineStr">
        <is>
          <t>16/10/2026</t>
        </is>
      </c>
    </row>
    <row r="196">
      <c r="A196" t="n">
        <v>195</v>
      </c>
      <c r="B196" t="inlineStr">
        <is>
          <t>SKU-1195</t>
        </is>
      </c>
      <c r="C196" t="inlineStr">
        <is>
          <t>Lixa D'Água Grão 220 para Metais</t>
        </is>
      </c>
      <c r="D196" t="inlineStr">
        <is>
          <t>Consumáveis Diversos</t>
        </is>
      </c>
      <c r="E196" t="inlineStr">
        <is>
          <t>Rua B-05-01-A</t>
        </is>
      </c>
      <c r="F196" t="n">
        <v>641</v>
      </c>
      <c r="G196" t="inlineStr">
        <is>
          <t>FOLHA</t>
        </is>
      </c>
      <c r="H196" t="n">
        <v>2.51</v>
      </c>
      <c r="I196">
        <f>F196*H196</f>
        <v/>
      </c>
      <c r="J196" t="n">
        <v>200</v>
      </c>
      <c r="K196">
        <f>IF(F196&lt;=J196,"CRÍTICO","NORMAL")</f>
        <v/>
      </c>
      <c r="L196" t="n">
        <v>150</v>
      </c>
      <c r="M196" t="n">
        <v>109</v>
      </c>
      <c r="N196" t="inlineStr">
        <is>
          <t>11/10/2026</t>
        </is>
      </c>
      <c r="O196" t="inlineStr">
        <is>
          <t>19/10/2026</t>
        </is>
      </c>
    </row>
    <row r="197">
      <c r="A197" t="n">
        <v>196</v>
      </c>
      <c r="B197" t="inlineStr">
        <is>
          <t>SKU-1196</t>
        </is>
      </c>
      <c r="C197" t="inlineStr">
        <is>
          <t>Massa Epóxi Bi-componente Durepoxi 250g</t>
        </is>
      </c>
      <c r="D197" t="inlineStr">
        <is>
          <t>Consumáveis Diversos</t>
        </is>
      </c>
      <c r="E197" t="inlineStr">
        <is>
          <t>Rua G-15-03-A</t>
        </is>
      </c>
      <c r="F197" t="n">
        <v>114</v>
      </c>
      <c r="G197" t="inlineStr">
        <is>
          <t>UN</t>
        </is>
      </c>
      <c r="H197" t="n">
        <v>17.66</v>
      </c>
      <c r="I197">
        <f>F197*H197</f>
        <v/>
      </c>
      <c r="J197" t="n">
        <v>40</v>
      </c>
      <c r="K197">
        <f>IF(F197&lt;=J197,"CRÍTICO","NORMAL")</f>
        <v/>
      </c>
      <c r="L197" t="n">
        <v>103</v>
      </c>
      <c r="M197" t="n">
        <v>37</v>
      </c>
      <c r="N197" t="inlineStr">
        <is>
          <t>24/10/2026</t>
        </is>
      </c>
      <c r="O197" t="inlineStr">
        <is>
          <t>27/10/2026</t>
        </is>
      </c>
    </row>
    <row r="198">
      <c r="A198" t="n">
        <v>197</v>
      </c>
      <c r="B198" t="inlineStr">
        <is>
          <t>SKU-1197</t>
        </is>
      </c>
      <c r="C198" t="inlineStr">
        <is>
          <t>Grafite em Pó Lubrificante Bisnaga 25g</t>
        </is>
      </c>
      <c r="D198" t="inlineStr">
        <is>
          <t>Consumáveis Diversos</t>
        </is>
      </c>
      <c r="E198" t="inlineStr">
        <is>
          <t>Rua B-02-02-A</t>
        </is>
      </c>
      <c r="F198" t="n">
        <v>184</v>
      </c>
      <c r="G198" t="inlineStr">
        <is>
          <t>UN</t>
        </is>
      </c>
      <c r="H198" t="n">
        <v>8.119999999999999</v>
      </c>
      <c r="I198">
        <f>F198*H198</f>
        <v/>
      </c>
      <c r="J198" t="n">
        <v>60</v>
      </c>
      <c r="K198">
        <f>IF(F198&lt;=J198,"CRÍTICO","NORMAL")</f>
        <v/>
      </c>
      <c r="L198" t="n">
        <v>69</v>
      </c>
      <c r="M198" t="n">
        <v>35</v>
      </c>
      <c r="N198" t="inlineStr">
        <is>
          <t>13/10/2026</t>
        </is>
      </c>
      <c r="O198" t="inlineStr">
        <is>
          <t>20/10/2026</t>
        </is>
      </c>
    </row>
    <row r="199">
      <c r="A199" t="n">
        <v>198</v>
      </c>
      <c r="B199" t="inlineStr">
        <is>
          <t>SKU-1198</t>
        </is>
      </c>
      <c r="C199" t="inlineStr">
        <is>
          <t>Estopa para Limpeza Mecânica Pacote 1Kg</t>
        </is>
      </c>
      <c r="D199" t="inlineStr">
        <is>
          <t>Consumáveis Diversos</t>
        </is>
      </c>
      <c r="E199" t="inlineStr">
        <is>
          <t>Rua E-15-04-B</t>
        </is>
      </c>
      <c r="F199" t="n">
        <v>164</v>
      </c>
      <c r="G199" t="inlineStr">
        <is>
          <t>PCT</t>
        </is>
      </c>
      <c r="H199" t="n">
        <v>14.91</v>
      </c>
      <c r="I199">
        <f>F199*H199</f>
        <v/>
      </c>
      <c r="J199" t="n">
        <v>50</v>
      </c>
      <c r="K199">
        <f>IF(F199&lt;=J199,"CRÍTICO","NORMAL")</f>
        <v/>
      </c>
      <c r="L199" t="n">
        <v>108</v>
      </c>
      <c r="M199" t="n">
        <v>69</v>
      </c>
      <c r="N199" t="inlineStr">
        <is>
          <t>20/10/2026</t>
        </is>
      </c>
      <c r="O199" t="inlineStr">
        <is>
          <t>22/10/2026</t>
        </is>
      </c>
    </row>
    <row r="200">
      <c r="A200" t="n">
        <v>199</v>
      </c>
      <c r="B200" t="inlineStr">
        <is>
          <t>SKU-1199</t>
        </is>
      </c>
      <c r="C200" t="inlineStr">
        <is>
          <t>Trapo de Malha Costurado Algodão 5Kg</t>
        </is>
      </c>
      <c r="D200" t="inlineStr">
        <is>
          <t>Consumáveis Diversos</t>
        </is>
      </c>
      <c r="E200" t="inlineStr">
        <is>
          <t>Rua D-25-05-A</t>
        </is>
      </c>
      <c r="F200" t="n">
        <v>5</v>
      </c>
      <c r="G200" t="inlineStr">
        <is>
          <t>PCT</t>
        </is>
      </c>
      <c r="H200" t="n">
        <v>37.73</v>
      </c>
      <c r="I200">
        <f>F200*H200</f>
        <v/>
      </c>
      <c r="J200" t="n">
        <v>40</v>
      </c>
      <c r="K200">
        <f>IF(F200&lt;=J200,"CRÍTICO","NORMAL")</f>
        <v/>
      </c>
      <c r="L200" t="n">
        <v>43</v>
      </c>
      <c r="M200" t="n">
        <v>112</v>
      </c>
      <c r="N200" t="inlineStr">
        <is>
          <t>02/10/2026</t>
        </is>
      </c>
      <c r="O200" t="inlineStr">
        <is>
          <t>12/10/2026</t>
        </is>
      </c>
    </row>
    <row r="201">
      <c r="A201" t="n">
        <v>200</v>
      </c>
      <c r="B201" t="inlineStr">
        <is>
          <t>SKU-1200</t>
        </is>
      </c>
      <c r="C201" t="inlineStr">
        <is>
          <t>Corda de Polipropileno 8mm Rolo 100 Metros</t>
        </is>
      </c>
      <c r="D201" t="inlineStr">
        <is>
          <t>Consumáveis Diversos</t>
        </is>
      </c>
      <c r="E201" t="inlineStr">
        <is>
          <t>Rua H-17-03-A</t>
        </is>
      </c>
      <c r="F201" t="n">
        <v>29</v>
      </c>
      <c r="G201" t="inlineStr">
        <is>
          <t>RL</t>
        </is>
      </c>
      <c r="H201" t="n">
        <v>71.25</v>
      </c>
      <c r="I201">
        <f>F201*H201</f>
        <v/>
      </c>
      <c r="J201" t="n">
        <v>20</v>
      </c>
      <c r="K201">
        <f>IF(F201&lt;=J201,"CRÍTICO","NORMAL")</f>
        <v/>
      </c>
      <c r="L201" t="n">
        <v>183</v>
      </c>
      <c r="M201" t="n">
        <v>168</v>
      </c>
      <c r="N201" t="inlineStr">
        <is>
          <t>13/10/2026</t>
        </is>
      </c>
      <c r="O201" t="inlineStr">
        <is>
          <t>16/10/2026</t>
        </is>
      </c>
    </row>
    <row r="202">
      <c r="C202" t="inlineStr">
        <is>
          <t>TOTAL GERAL</t>
        </is>
      </c>
      <c r="I202">
        <f>F202*H202</f>
        <v/>
      </c>
      <c r="K202">
        <f>IF(F202&lt;=J202,"CRÍTICO","NORMAL")</f>
        <v/>
      </c>
      <c r="L202" t="n">
        <v>91</v>
      </c>
      <c r="M202" t="n">
        <v>168</v>
      </c>
      <c r="N202" t="inlineStr">
        <is>
          <t>04/10/2026</t>
        </is>
      </c>
      <c r="O202" t="inlineStr">
        <is>
          <t>21/10/2026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2026-10-05T01:28:27Z</dcterms:created>
  <dcterms:modified xmlns:dcterms="http://purl.org/dc/terms/" xmlns:xsi="http://www.w3.org/2001/XMLSchema-instance" xsi:type="dcterms:W3CDTF">2026-10-05T01:37:29Z</dcterms:modified>
</cp:coreProperties>
</file>